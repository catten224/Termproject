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egy\Documents\졸업작품\Figma\"/>
    </mc:Choice>
  </mc:AlternateContent>
  <xr:revisionPtr revIDLastSave="0" documentId="13_ncr:1_{69912B5E-78E2-4F9B-B0D6-57E8D48B19E6}" xr6:coauthVersionLast="47" xr6:coauthVersionMax="47" xr10:uidLastSave="{00000000-0000-0000-0000-000000000000}"/>
  <bookViews>
    <workbookView xWindow="-96" yWindow="0" windowWidth="15552" windowHeight="19296" activeTab="1" xr2:uid="{02B73ECB-8B50-424F-8C41-5979603DE52E}"/>
  </bookViews>
  <sheets>
    <sheet name="Board" sheetId="5" r:id="rId1"/>
    <sheet name="Sheet1" sheetId="10" r:id="rId2"/>
    <sheet name="Uart" sheetId="6" r:id="rId3"/>
    <sheet name="Robot" sheetId="9" r:id="rId4"/>
    <sheet name="Slide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0" i="6" l="1"/>
  <c r="Z51" i="6" s="1"/>
  <c r="Z52" i="6" s="1"/>
  <c r="Z53" i="6" s="1"/>
  <c r="Z54" i="6" s="1"/>
  <c r="Z55" i="6" s="1"/>
  <c r="Z56" i="6" s="1"/>
  <c r="Z57" i="6" s="1"/>
  <c r="Z58" i="6" s="1"/>
  <c r="Z59" i="6" s="1"/>
  <c r="Z60" i="6" s="1"/>
  <c r="Z61" i="6" s="1"/>
  <c r="Z62" i="6" s="1"/>
  <c r="Z63" i="6" s="1"/>
  <c r="Z64" i="6" s="1"/>
  <c r="Z65" i="6" s="1"/>
  <c r="Z66" i="6" s="1"/>
  <c r="Y50" i="6"/>
  <c r="Y51" i="6" s="1"/>
  <c r="Y52" i="6" s="1"/>
  <c r="Y53" i="6" s="1"/>
  <c r="Y54" i="6" s="1"/>
  <c r="Y55" i="6" s="1"/>
  <c r="Y56" i="6" s="1"/>
  <c r="Y57" i="6" s="1"/>
  <c r="Y58" i="6" s="1"/>
  <c r="Y59" i="6" s="1"/>
  <c r="Y60" i="6" s="1"/>
  <c r="Y61" i="6" s="1"/>
  <c r="Y62" i="6" s="1"/>
  <c r="Y63" i="6" s="1"/>
  <c r="Y64" i="6" s="1"/>
  <c r="Y65" i="6" s="1"/>
  <c r="Y66" i="6" s="1"/>
  <c r="T5" i="10"/>
  <c r="T6" i="10" s="1"/>
  <c r="T7" i="10" s="1"/>
  <c r="T8" i="10" s="1"/>
  <c r="T9" i="10" s="1"/>
  <c r="T10" i="10" s="1"/>
  <c r="T11" i="10" s="1"/>
  <c r="T12" i="10" s="1"/>
  <c r="W139" i="9"/>
  <c r="W138" i="9"/>
  <c r="W137" i="9"/>
  <c r="W136" i="9"/>
  <c r="O137" i="9"/>
  <c r="W130" i="9"/>
  <c r="W131" i="9" s="1"/>
  <c r="W132" i="9" s="1"/>
  <c r="Y139" i="9" l="1"/>
  <c r="Y137" i="9"/>
  <c r="Y138" i="9"/>
  <c r="Y136" i="9"/>
</calcChain>
</file>

<file path=xl/sharedStrings.xml><?xml version="1.0" encoding="utf-8"?>
<sst xmlns="http://schemas.openxmlformats.org/spreadsheetml/2006/main" count="862" uniqueCount="579">
  <si>
    <t>PD15</t>
    <phoneticPr fontId="4" type="noConversion"/>
  </si>
  <si>
    <t>PA4</t>
    <phoneticPr fontId="4" type="noConversion"/>
  </si>
  <si>
    <t>PA3</t>
    <phoneticPr fontId="4" type="noConversion"/>
  </si>
  <si>
    <t>PD14</t>
    <phoneticPr fontId="4" type="noConversion"/>
  </si>
  <si>
    <t>PF12</t>
    <phoneticPr fontId="4" type="noConversion"/>
  </si>
  <si>
    <t>PD0</t>
    <phoneticPr fontId="4" type="noConversion"/>
  </si>
  <si>
    <t>PD1</t>
    <phoneticPr fontId="4" type="noConversion"/>
  </si>
  <si>
    <t>PB4</t>
    <phoneticPr fontId="4" type="noConversion"/>
  </si>
  <si>
    <t>PA6</t>
    <phoneticPr fontId="4" type="noConversion"/>
  </si>
  <si>
    <t>PA7</t>
    <phoneticPr fontId="4" type="noConversion"/>
  </si>
  <si>
    <t>PD6</t>
    <phoneticPr fontId="4" type="noConversion"/>
  </si>
  <si>
    <t>PD5</t>
    <phoneticPr fontId="4" type="noConversion"/>
  </si>
  <si>
    <t>PC6</t>
    <phoneticPr fontId="4" type="noConversion"/>
  </si>
  <si>
    <t>PC8</t>
    <phoneticPr fontId="4" type="noConversion"/>
  </si>
  <si>
    <t>PC9</t>
    <phoneticPr fontId="4" type="noConversion"/>
  </si>
  <si>
    <t>PE9</t>
    <phoneticPr fontId="4" type="noConversion"/>
  </si>
  <si>
    <t>PE11</t>
    <phoneticPr fontId="4" type="noConversion"/>
  </si>
  <si>
    <t>PB10</t>
    <phoneticPr fontId="4" type="noConversion"/>
  </si>
  <si>
    <t>PB11</t>
    <phoneticPr fontId="4" type="noConversion"/>
  </si>
  <si>
    <t>PD12</t>
    <phoneticPr fontId="4" type="noConversion"/>
  </si>
  <si>
    <t>PD13</t>
    <phoneticPr fontId="4" type="noConversion"/>
  </si>
  <si>
    <t>PB5</t>
    <phoneticPr fontId="4" type="noConversion"/>
  </si>
  <si>
    <t>IOREF</t>
  </si>
  <si>
    <t>RESET</t>
  </si>
  <si>
    <t>GND</t>
  </si>
  <si>
    <t>PA3</t>
  </si>
  <si>
    <t>PC0</t>
  </si>
  <si>
    <t>PC3</t>
  </si>
  <si>
    <t>PF3</t>
  </si>
  <si>
    <t>PF5</t>
  </si>
  <si>
    <t>PF10</t>
  </si>
  <si>
    <t>PA7</t>
  </si>
  <si>
    <t>PF2</t>
  </si>
  <si>
    <t>PF1</t>
  </si>
  <si>
    <t>PF0</t>
  </si>
  <si>
    <t>PD0</t>
  </si>
  <si>
    <t>PD1</t>
  </si>
  <si>
    <t>PG0</t>
  </si>
  <si>
    <t>PC8</t>
  </si>
  <si>
    <t>PC9</t>
  </si>
  <si>
    <t>PC10</t>
  </si>
  <si>
    <t>PC11</t>
  </si>
  <si>
    <t>PC12</t>
  </si>
  <si>
    <t>PD2</t>
  </si>
  <si>
    <t>PG2</t>
  </si>
  <si>
    <t>PG3</t>
  </si>
  <si>
    <t>PD7</t>
  </si>
  <si>
    <t>PD6</t>
  </si>
  <si>
    <t>PD5</t>
  </si>
  <si>
    <t>PD4</t>
  </si>
  <si>
    <t>PD3</t>
  </si>
  <si>
    <t>PE2</t>
  </si>
  <si>
    <t>PE4</t>
  </si>
  <si>
    <t>PE5</t>
  </si>
  <si>
    <t>PE6</t>
  </si>
  <si>
    <t>PE3</t>
  </si>
  <si>
    <t>PF8</t>
  </si>
  <si>
    <t>PF7</t>
  </si>
  <si>
    <t>PF9</t>
  </si>
  <si>
    <t>PG1</t>
  </si>
  <si>
    <t>PC6</t>
  </si>
  <si>
    <t>PB8</t>
  </si>
  <si>
    <t>PB15</t>
  </si>
  <si>
    <t>PB9</t>
  </si>
  <si>
    <t>PB13</t>
  </si>
  <si>
    <t>AVDD</t>
  </si>
  <si>
    <t>PB12</t>
  </si>
  <si>
    <t>PA15</t>
  </si>
  <si>
    <t>PA5</t>
  </si>
  <si>
    <t>PC7</t>
  </si>
  <si>
    <t>PA6</t>
  </si>
  <si>
    <t>PB5</t>
  </si>
  <si>
    <t>PB3</t>
  </si>
  <si>
    <t>PD14</t>
  </si>
  <si>
    <t>PA4</t>
  </si>
  <si>
    <t>PD15</t>
  </si>
  <si>
    <t>PB4</t>
  </si>
  <si>
    <t>PF12</t>
  </si>
  <si>
    <t>PF13</t>
  </si>
  <si>
    <t>AGND</t>
  </si>
  <si>
    <t>PE9</t>
  </si>
  <si>
    <t>PE11</t>
  </si>
  <si>
    <t>PB1</t>
  </si>
  <si>
    <t>PF14</t>
  </si>
  <si>
    <t>PC2</t>
  </si>
  <si>
    <t>PE13</t>
  </si>
  <si>
    <t>PF4</t>
  </si>
  <si>
    <t>PF15</t>
  </si>
  <si>
    <t>PB6</t>
  </si>
  <si>
    <t>PG14</t>
  </si>
  <si>
    <t>PB2</t>
  </si>
  <si>
    <t>PG9</t>
  </si>
  <si>
    <t>PE8</t>
  </si>
  <si>
    <t>PD13</t>
  </si>
  <si>
    <t>PE7</t>
  </si>
  <si>
    <t>PD12</t>
  </si>
  <si>
    <t>PD11</t>
  </si>
  <si>
    <t>PE10</t>
  </si>
  <si>
    <t>PE12</t>
  </si>
  <si>
    <t>PE14</t>
  </si>
  <si>
    <t>PA0</t>
  </si>
  <si>
    <t>PE15</t>
  </si>
  <si>
    <t>PB0</t>
  </si>
  <si>
    <t>PB10</t>
  </si>
  <si>
    <t>PE0</t>
  </si>
  <si>
    <t>PB11</t>
  </si>
  <si>
    <t>VDD</t>
  </si>
  <si>
    <t>E5V</t>
  </si>
  <si>
    <t>BOOT0</t>
  </si>
  <si>
    <t>PF6</t>
  </si>
  <si>
    <t>-</t>
  </si>
  <si>
    <t>PA13</t>
  </si>
  <si>
    <t>PA14</t>
  </si>
  <si>
    <t>PC13</t>
  </si>
  <si>
    <t>V_IN</t>
  </si>
  <si>
    <t>PC14</t>
  </si>
  <si>
    <t>PC15</t>
  </si>
  <si>
    <t>PH0</t>
  </si>
  <si>
    <t>PA1</t>
  </si>
  <si>
    <t>PH1</t>
  </si>
  <si>
    <t>V_BAT</t>
  </si>
  <si>
    <t>PC1</t>
  </si>
  <si>
    <t>PE1</t>
  </si>
  <si>
    <t>PG15</t>
  </si>
  <si>
    <t>PG12</t>
  </si>
  <si>
    <t>PG10</t>
  </si>
  <si>
    <t>PG13</t>
  </si>
  <si>
    <t>PD9</t>
  </si>
  <si>
    <t>PG11</t>
  </si>
  <si>
    <t>PC5</t>
  </si>
  <si>
    <t>U5V</t>
  </si>
  <si>
    <t>PD8</t>
  </si>
  <si>
    <t>PA12</t>
  </si>
  <si>
    <t>PA11</t>
  </si>
  <si>
    <t>PA9</t>
  </si>
  <si>
    <t>PA8</t>
  </si>
  <si>
    <t>PB14</t>
  </si>
  <si>
    <t>PC4</t>
  </si>
  <si>
    <t>PA2</t>
  </si>
  <si>
    <t>PF11</t>
  </si>
  <si>
    <t>PD10</t>
  </si>
  <si>
    <t>PG8</t>
  </si>
  <si>
    <t>PG7</t>
  </si>
  <si>
    <t>PG5</t>
  </si>
  <si>
    <t>PG4</t>
  </si>
  <si>
    <t>PG6</t>
  </si>
  <si>
    <t>PE5</t>
    <phoneticPr fontId="4" type="noConversion"/>
  </si>
  <si>
    <t>PE4</t>
    <phoneticPr fontId="4" type="noConversion"/>
  </si>
  <si>
    <t>PE2</t>
    <phoneticPr fontId="4" type="noConversion"/>
  </si>
  <si>
    <t>PF0</t>
    <phoneticPr fontId="4" type="noConversion"/>
  </si>
  <si>
    <t>PF1</t>
    <phoneticPr fontId="4" type="noConversion"/>
  </si>
  <si>
    <t>GND</t>
    <phoneticPr fontId="4" type="noConversion"/>
  </si>
  <si>
    <t>5V</t>
    <phoneticPr fontId="4" type="noConversion"/>
  </si>
  <si>
    <t>PA10</t>
    <phoneticPr fontId="4" type="noConversion"/>
  </si>
  <si>
    <t>CW</t>
    <phoneticPr fontId="4" type="noConversion"/>
  </si>
  <si>
    <t>CCW</t>
    <phoneticPr fontId="4" type="noConversion"/>
  </si>
  <si>
    <t>PC7</t>
    <phoneticPr fontId="4" type="noConversion"/>
  </si>
  <si>
    <t>PB8</t>
    <phoneticPr fontId="4" type="noConversion"/>
  </si>
  <si>
    <t>PB9</t>
    <phoneticPr fontId="4" type="noConversion"/>
  </si>
  <si>
    <t>AVDD</t>
    <phoneticPr fontId="4" type="noConversion"/>
  </si>
  <si>
    <t>PA5</t>
    <phoneticPr fontId="4" type="noConversion"/>
  </si>
  <si>
    <t>PF13</t>
    <phoneticPr fontId="4" type="noConversion"/>
  </si>
  <si>
    <t>PF14</t>
    <phoneticPr fontId="4" type="noConversion"/>
  </si>
  <si>
    <t>PE13</t>
    <phoneticPr fontId="4" type="noConversion"/>
  </si>
  <si>
    <t>PF15</t>
    <phoneticPr fontId="4" type="noConversion"/>
  </si>
  <si>
    <t>PG14</t>
    <phoneticPr fontId="4" type="noConversion"/>
  </si>
  <si>
    <t>PG9</t>
    <phoneticPr fontId="4" type="noConversion"/>
  </si>
  <si>
    <t>PE8</t>
    <phoneticPr fontId="4" type="noConversion"/>
  </si>
  <si>
    <t>PE7</t>
    <phoneticPr fontId="4" type="noConversion"/>
  </si>
  <si>
    <t>PE10</t>
    <phoneticPr fontId="4" type="noConversion"/>
  </si>
  <si>
    <t>PE12</t>
    <phoneticPr fontId="4" type="noConversion"/>
  </si>
  <si>
    <t>PE14</t>
    <phoneticPr fontId="4" type="noConversion"/>
  </si>
  <si>
    <t>PE15</t>
    <phoneticPr fontId="4" type="noConversion"/>
  </si>
  <si>
    <t>PB15</t>
    <phoneticPr fontId="4" type="noConversion"/>
  </si>
  <si>
    <t>PB13</t>
    <phoneticPr fontId="4" type="noConversion"/>
  </si>
  <si>
    <t>PB12</t>
    <phoneticPr fontId="4" type="noConversion"/>
  </si>
  <si>
    <t>PA15</t>
    <phoneticPr fontId="4" type="noConversion"/>
  </si>
  <si>
    <t>PB3</t>
    <phoneticPr fontId="4" type="noConversion"/>
  </si>
  <si>
    <t>AGND</t>
    <phoneticPr fontId="4" type="noConversion"/>
  </si>
  <si>
    <t>PB1</t>
    <phoneticPr fontId="4" type="noConversion"/>
  </si>
  <si>
    <t>PC2</t>
    <phoneticPr fontId="4" type="noConversion"/>
  </si>
  <si>
    <t>PF4</t>
    <phoneticPr fontId="4" type="noConversion"/>
  </si>
  <si>
    <t>PB6</t>
    <phoneticPr fontId="4" type="noConversion"/>
  </si>
  <si>
    <t>PB2</t>
    <phoneticPr fontId="4" type="noConversion"/>
  </si>
  <si>
    <t>PD11</t>
    <phoneticPr fontId="4" type="noConversion"/>
  </si>
  <si>
    <t>PA0</t>
    <phoneticPr fontId="4" type="noConversion"/>
  </si>
  <si>
    <t>PB0</t>
    <phoneticPr fontId="4" type="noConversion"/>
  </si>
  <si>
    <t>PE0</t>
    <phoneticPr fontId="4" type="noConversion"/>
  </si>
  <si>
    <t>PC10</t>
    <phoneticPr fontId="4" type="noConversion"/>
  </si>
  <si>
    <t>PC11</t>
    <phoneticPr fontId="4" type="noConversion"/>
  </si>
  <si>
    <t>PC12</t>
    <phoneticPr fontId="4" type="noConversion"/>
  </si>
  <si>
    <t>PD2</t>
    <phoneticPr fontId="4" type="noConversion"/>
  </si>
  <si>
    <t>PG2</t>
    <phoneticPr fontId="4" type="noConversion"/>
  </si>
  <si>
    <t>PG3</t>
    <phoneticPr fontId="4" type="noConversion"/>
  </si>
  <si>
    <t>PD7</t>
    <phoneticPr fontId="4" type="noConversion"/>
  </si>
  <si>
    <t>PD4</t>
    <phoneticPr fontId="4" type="noConversion"/>
  </si>
  <si>
    <t>PD3</t>
    <phoneticPr fontId="4" type="noConversion"/>
  </si>
  <si>
    <t>PE6</t>
    <phoneticPr fontId="4" type="noConversion"/>
  </si>
  <si>
    <t>PE3</t>
    <phoneticPr fontId="4" type="noConversion"/>
  </si>
  <si>
    <t>PF8</t>
    <phoneticPr fontId="4" type="noConversion"/>
  </si>
  <si>
    <t>PF7</t>
    <phoneticPr fontId="4" type="noConversion"/>
  </si>
  <si>
    <t>PF9</t>
    <phoneticPr fontId="4" type="noConversion"/>
  </si>
  <si>
    <t>PG1</t>
    <phoneticPr fontId="4" type="noConversion"/>
  </si>
  <si>
    <t>NC</t>
    <phoneticPr fontId="4" type="noConversion"/>
  </si>
  <si>
    <t>IOREF</t>
    <phoneticPr fontId="4" type="noConversion"/>
  </si>
  <si>
    <t>3V3</t>
    <phoneticPr fontId="4" type="noConversion"/>
  </si>
  <si>
    <t>VIN</t>
    <phoneticPr fontId="4" type="noConversion"/>
  </si>
  <si>
    <t>RESET</t>
    <phoneticPr fontId="4" type="noConversion"/>
  </si>
  <si>
    <t>PC0</t>
    <phoneticPr fontId="4" type="noConversion"/>
  </si>
  <si>
    <t>PC3</t>
    <phoneticPr fontId="4" type="noConversion"/>
  </si>
  <si>
    <t>PF3</t>
    <phoneticPr fontId="4" type="noConversion"/>
  </si>
  <si>
    <t>PF5</t>
    <phoneticPr fontId="4" type="noConversion"/>
  </si>
  <si>
    <t>PF10</t>
    <phoneticPr fontId="4" type="noConversion"/>
  </si>
  <si>
    <t>PF2</t>
    <phoneticPr fontId="4" type="noConversion"/>
  </si>
  <si>
    <t>PG0</t>
    <phoneticPr fontId="4" type="noConversion"/>
  </si>
  <si>
    <t>CN8</t>
    <phoneticPr fontId="4" type="noConversion"/>
  </si>
  <si>
    <t>CN9</t>
    <phoneticPr fontId="4" type="noConversion"/>
  </si>
  <si>
    <t>CN7</t>
    <phoneticPr fontId="4" type="noConversion"/>
  </si>
  <si>
    <t>CN10</t>
    <phoneticPr fontId="4" type="noConversion"/>
  </si>
  <si>
    <t>CN11</t>
    <phoneticPr fontId="4" type="noConversion"/>
  </si>
  <si>
    <t>PB7</t>
    <phoneticPr fontId="4" type="noConversion"/>
  </si>
  <si>
    <t>CN12</t>
    <phoneticPr fontId="4" type="noConversion"/>
  </si>
  <si>
    <t>NUCLEO-F439ZI PIN</t>
    <phoneticPr fontId="4" type="noConversion"/>
  </si>
  <si>
    <t>ESP WIFI Modul</t>
    <phoneticPr fontId="4" type="noConversion"/>
  </si>
  <si>
    <t>Bottom Encoder motor - R</t>
    <phoneticPr fontId="4" type="noConversion"/>
  </si>
  <si>
    <t>Bottom Encoder motor - L</t>
    <phoneticPr fontId="4" type="noConversion"/>
  </si>
  <si>
    <t>Top Encoder motor - R</t>
    <phoneticPr fontId="4" type="noConversion"/>
  </si>
  <si>
    <t>Top Encoder motor - L</t>
    <phoneticPr fontId="4" type="noConversion"/>
  </si>
  <si>
    <t>Step motor</t>
    <phoneticPr fontId="4" type="noConversion"/>
  </si>
  <si>
    <t>Servo motor</t>
    <phoneticPr fontId="4" type="noConversion"/>
  </si>
  <si>
    <t>Distance Sensor</t>
    <phoneticPr fontId="4" type="noConversion"/>
  </si>
  <si>
    <t>Photo Sensor</t>
    <phoneticPr fontId="4" type="noConversion"/>
  </si>
  <si>
    <t>O</t>
    <phoneticPr fontId="4" type="noConversion"/>
  </si>
  <si>
    <t>Check</t>
    <phoneticPr fontId="4" type="noConversion"/>
  </si>
  <si>
    <t>Port</t>
    <phoneticPr fontId="4" type="noConversion"/>
  </si>
  <si>
    <t>Pin</t>
    <phoneticPr fontId="4" type="noConversion"/>
  </si>
  <si>
    <t>Function</t>
    <phoneticPr fontId="4" type="noConversion"/>
  </si>
  <si>
    <t>Comment</t>
    <phoneticPr fontId="4" type="noConversion"/>
  </si>
  <si>
    <t>GPIOD</t>
  </si>
  <si>
    <t>GPIOD</t>
    <phoneticPr fontId="4" type="noConversion"/>
  </si>
  <si>
    <t>GPIOC</t>
    <phoneticPr fontId="4" type="noConversion"/>
  </si>
  <si>
    <t>GPIOE</t>
    <phoneticPr fontId="4" type="noConversion"/>
  </si>
  <si>
    <t>GPIO_PIN_14</t>
    <phoneticPr fontId="4" type="noConversion"/>
  </si>
  <si>
    <t>GPIO_PIN_15</t>
    <phoneticPr fontId="4" type="noConversion"/>
  </si>
  <si>
    <t>GPIO_PIN_11</t>
    <phoneticPr fontId="4" type="noConversion"/>
  </si>
  <si>
    <t>GPIO_Output</t>
    <phoneticPr fontId="4" type="noConversion"/>
  </si>
  <si>
    <t>TIM8_CH1(PWM)</t>
    <phoneticPr fontId="4" type="noConversion"/>
  </si>
  <si>
    <t>TIM1_CH1(Encoder)</t>
    <phoneticPr fontId="4" type="noConversion"/>
  </si>
  <si>
    <t>TIM1_CH2(Encoder)</t>
    <phoneticPr fontId="4" type="noConversion"/>
  </si>
  <si>
    <t>Signal A</t>
    <phoneticPr fontId="4" type="noConversion"/>
  </si>
  <si>
    <t>Signal B</t>
    <phoneticPr fontId="4" type="noConversion"/>
  </si>
  <si>
    <t>RESET: Disable</t>
    <phoneticPr fontId="4" type="noConversion"/>
  </si>
  <si>
    <t>SET: Enable</t>
  </si>
  <si>
    <t>RESET: CCW</t>
    <phoneticPr fontId="4" type="noConversion"/>
  </si>
  <si>
    <t>SET: CW</t>
  </si>
  <si>
    <t>PSC: 84-1</t>
    <phoneticPr fontId="4" type="noConversion"/>
  </si>
  <si>
    <t>ARR: 100-1</t>
    <phoneticPr fontId="4" type="noConversion"/>
  </si>
  <si>
    <t>Counter: Up (0 ~ 0xFFFF)</t>
    <phoneticPr fontId="4" type="noConversion"/>
  </si>
  <si>
    <t>Freq: 20kHz</t>
    <phoneticPr fontId="4" type="noConversion"/>
  </si>
  <si>
    <t>GPIOA</t>
    <phoneticPr fontId="4" type="noConversion"/>
  </si>
  <si>
    <t>GPIOB</t>
    <phoneticPr fontId="4" type="noConversion"/>
  </si>
  <si>
    <t>GPIO_PIN_5</t>
    <phoneticPr fontId="4" type="noConversion"/>
  </si>
  <si>
    <t>GPIO_PIN_6</t>
    <phoneticPr fontId="4" type="noConversion"/>
  </si>
  <si>
    <t>GPIO_PIN_7</t>
    <phoneticPr fontId="4" type="noConversion"/>
  </si>
  <si>
    <t>GPIO_PIN_9</t>
    <phoneticPr fontId="4" type="noConversion"/>
  </si>
  <si>
    <t>GPIO_PIN_3</t>
    <phoneticPr fontId="4" type="noConversion"/>
  </si>
  <si>
    <t>TIM8_CH2(PWM)</t>
    <phoneticPr fontId="4" type="noConversion"/>
  </si>
  <si>
    <t>TIM2_CH1(Encoder)</t>
    <phoneticPr fontId="4" type="noConversion"/>
  </si>
  <si>
    <t>TIM2_CH2(Encoder)</t>
    <phoneticPr fontId="4" type="noConversion"/>
  </si>
  <si>
    <t>`</t>
    <phoneticPr fontId="4" type="noConversion"/>
  </si>
  <si>
    <t>GPIO_PIN_8</t>
    <phoneticPr fontId="4" type="noConversion"/>
  </si>
  <si>
    <t>GPIO_PIN_4</t>
    <phoneticPr fontId="4" type="noConversion"/>
  </si>
  <si>
    <t>TIM8_CH3(PWM)</t>
    <phoneticPr fontId="4" type="noConversion"/>
  </si>
  <si>
    <t>TIM3_CH1(Encoder)</t>
    <phoneticPr fontId="4" type="noConversion"/>
  </si>
  <si>
    <t>TIM3_CH2(Encoder)</t>
    <phoneticPr fontId="4" type="noConversion"/>
  </si>
  <si>
    <t>RESET/RESET</t>
    <phoneticPr fontId="4" type="noConversion"/>
  </si>
  <si>
    <t>Disable</t>
    <phoneticPr fontId="4" type="noConversion"/>
  </si>
  <si>
    <t>SET/RESET</t>
    <phoneticPr fontId="4" type="noConversion"/>
  </si>
  <si>
    <t>RESET/SET</t>
    <phoneticPr fontId="4" type="noConversion"/>
  </si>
  <si>
    <t>SET/SET</t>
    <phoneticPr fontId="4" type="noConversion"/>
  </si>
  <si>
    <t>Brake</t>
    <phoneticPr fontId="4" type="noConversion"/>
  </si>
  <si>
    <t>GPIO_PIN_12</t>
    <phoneticPr fontId="4" type="noConversion"/>
  </si>
  <si>
    <t>GPIO_PIN_13</t>
    <phoneticPr fontId="4" type="noConversion"/>
  </si>
  <si>
    <t>TIM8_CH4(PWM)</t>
    <phoneticPr fontId="4" type="noConversion"/>
  </si>
  <si>
    <t>TIM4_CH1(Encoder)</t>
    <phoneticPr fontId="4" type="noConversion"/>
  </si>
  <si>
    <t>TIM4_CH2(Encoder)</t>
    <phoneticPr fontId="4" type="noConversion"/>
  </si>
  <si>
    <t>GPIO_PIN_2</t>
    <phoneticPr fontId="4" type="noConversion"/>
  </si>
  <si>
    <t>RESET: Holdoff_OFF</t>
    <phoneticPr fontId="4" type="noConversion"/>
  </si>
  <si>
    <t>SET: Holdoff_ON</t>
    <phoneticPr fontId="4" type="noConversion"/>
  </si>
  <si>
    <t>TIM9_CH1(OC_Interrupt)</t>
    <phoneticPr fontId="4" type="noConversion"/>
  </si>
  <si>
    <t>APB2: 168MHZ</t>
    <phoneticPr fontId="4" type="noConversion"/>
  </si>
  <si>
    <t>PSC: 168-1</t>
    <phoneticPr fontId="4" type="noConversion"/>
  </si>
  <si>
    <t>ARR: 180-1</t>
    <phoneticPr fontId="4" type="noConversion"/>
  </si>
  <si>
    <t>Freq: 약 6kHz</t>
    <phoneticPr fontId="4" type="noConversion"/>
  </si>
  <si>
    <t>Serial</t>
    <phoneticPr fontId="4" type="noConversion"/>
  </si>
  <si>
    <t>Baud Rate</t>
    <phoneticPr fontId="4" type="noConversion"/>
  </si>
  <si>
    <t>115200 Bits/s</t>
    <phoneticPr fontId="4" type="noConversion"/>
  </si>
  <si>
    <t>floor/cell</t>
    <phoneticPr fontId="4" type="noConversion"/>
  </si>
  <si>
    <t>/n</t>
    <phoneticPr fontId="4" type="noConversion"/>
  </si>
  <si>
    <t>/r</t>
    <phoneticPr fontId="4" type="noConversion"/>
  </si>
  <si>
    <t>Meaning</t>
    <phoneticPr fontId="4" type="noConversion"/>
  </si>
  <si>
    <t>Byte Index</t>
    <phoneticPr fontId="4" type="noConversion"/>
  </si>
  <si>
    <t>Field Name</t>
    <phoneticPr fontId="4" type="noConversion"/>
  </si>
  <si>
    <t>io_type</t>
    <phoneticPr fontId="4" type="noConversion"/>
  </si>
  <si>
    <t>side</t>
    <phoneticPr fontId="4" type="noConversion"/>
  </si>
  <si>
    <t>floor</t>
    <phoneticPr fontId="4" type="noConversion"/>
  </si>
  <si>
    <t>cell</t>
    <phoneticPr fontId="4" type="noConversion"/>
  </si>
  <si>
    <t>Description</t>
    <phoneticPr fontId="4" type="noConversion"/>
  </si>
  <si>
    <t>I/O type fo the shelf</t>
    <phoneticPr fontId="4" type="noConversion"/>
  </si>
  <si>
    <t>Shelf side</t>
    <phoneticPr fontId="4" type="noConversion"/>
  </si>
  <si>
    <t>Shelf floor number</t>
    <phoneticPr fontId="4" type="noConversion"/>
  </si>
  <si>
    <t>Cell position on the floor</t>
    <phoneticPr fontId="4" type="noConversion"/>
  </si>
  <si>
    <t>Value Range</t>
    <phoneticPr fontId="4" type="noConversion"/>
  </si>
  <si>
    <t>Input</t>
    <phoneticPr fontId="4" type="noConversion"/>
  </si>
  <si>
    <t>Output</t>
    <phoneticPr fontId="4" type="noConversion"/>
  </si>
  <si>
    <t>Left</t>
    <phoneticPr fontId="4" type="noConversion"/>
  </si>
  <si>
    <t>Right</t>
    <phoneticPr fontId="4" type="noConversion"/>
  </si>
  <si>
    <t>'0'</t>
    <phoneticPr fontId="4" type="noConversion"/>
  </si>
  <si>
    <t>'1'</t>
    <phoneticPr fontId="4" type="noConversion"/>
  </si>
  <si>
    <t>'2'</t>
    <phoneticPr fontId="4" type="noConversion"/>
  </si>
  <si>
    <t>'3'</t>
    <phoneticPr fontId="4" type="noConversion"/>
  </si>
  <si>
    <t>1F</t>
    <phoneticPr fontId="4" type="noConversion"/>
  </si>
  <si>
    <t>2F</t>
    <phoneticPr fontId="4" type="noConversion"/>
  </si>
  <si>
    <t>3F</t>
    <phoneticPr fontId="4" type="noConversion"/>
  </si>
  <si>
    <t>'4'</t>
    <phoneticPr fontId="4" type="noConversion"/>
  </si>
  <si>
    <t>'5'</t>
    <phoneticPr fontId="4" type="noConversion"/>
  </si>
  <si>
    <t>'6'</t>
    <phoneticPr fontId="4" type="noConversion"/>
  </si>
  <si>
    <t>'7'</t>
    <phoneticPr fontId="4" type="noConversion"/>
  </si>
  <si>
    <t>'8</t>
    <phoneticPr fontId="4" type="noConversion"/>
  </si>
  <si>
    <t>'9'</t>
    <phoneticPr fontId="4" type="noConversion"/>
  </si>
  <si>
    <t>←</t>
    <phoneticPr fontId="4" type="noConversion"/>
  </si>
  <si>
    <t>''01''</t>
    <phoneticPr fontId="4" type="noConversion"/>
  </si>
  <si>
    <t>''02''</t>
    <phoneticPr fontId="4" type="noConversion"/>
  </si>
  <si>
    <t>''03''</t>
    <phoneticPr fontId="4" type="noConversion"/>
  </si>
  <si>
    <t>''04''</t>
    <phoneticPr fontId="4" type="noConversion"/>
  </si>
  <si>
    <t>''05''</t>
    <phoneticPr fontId="4" type="noConversion"/>
  </si>
  <si>
    <t>''06''</t>
    <phoneticPr fontId="4" type="noConversion"/>
  </si>
  <si>
    <t>''07''</t>
    <phoneticPr fontId="4" type="noConversion"/>
  </si>
  <si>
    <t>''08''</t>
    <phoneticPr fontId="4" type="noConversion"/>
  </si>
  <si>
    <t>''09''</t>
    <phoneticPr fontId="4" type="noConversion"/>
  </si>
  <si>
    <t>''11''</t>
    <phoneticPr fontId="4" type="noConversion"/>
  </si>
  <si>
    <t>''12''</t>
    <phoneticPr fontId="4" type="noConversion"/>
  </si>
  <si>
    <t>''13''</t>
    <phoneticPr fontId="4" type="noConversion"/>
  </si>
  <si>
    <t>''14''</t>
    <phoneticPr fontId="4" type="noConversion"/>
  </si>
  <si>
    <t>''15''</t>
    <phoneticPr fontId="4" type="noConversion"/>
  </si>
  <si>
    <t>''16''</t>
    <phoneticPr fontId="4" type="noConversion"/>
  </si>
  <si>
    <t>''17''</t>
    <phoneticPr fontId="4" type="noConversion"/>
  </si>
  <si>
    <t>''18''</t>
    <phoneticPr fontId="4" type="noConversion"/>
  </si>
  <si>
    <t>''19''</t>
    <phoneticPr fontId="4" type="noConversion"/>
  </si>
  <si>
    <t>''21''</t>
    <phoneticPr fontId="4" type="noConversion"/>
  </si>
  <si>
    <t>''22''</t>
    <phoneticPr fontId="4" type="noConversion"/>
  </si>
  <si>
    <t>''23''</t>
    <phoneticPr fontId="4" type="noConversion"/>
  </si>
  <si>
    <t>''24''</t>
    <phoneticPr fontId="4" type="noConversion"/>
  </si>
  <si>
    <t>''25''</t>
    <phoneticPr fontId="4" type="noConversion"/>
  </si>
  <si>
    <t>''26''</t>
    <phoneticPr fontId="4" type="noConversion"/>
  </si>
  <si>
    <t>''27''</t>
    <phoneticPr fontId="4" type="noConversion"/>
  </si>
  <si>
    <t>''28''</t>
    <phoneticPr fontId="4" type="noConversion"/>
  </si>
  <si>
    <t>''29''</t>
    <phoneticPr fontId="4" type="noConversion"/>
  </si>
  <si>
    <t>''31''</t>
    <phoneticPr fontId="4" type="noConversion"/>
  </si>
  <si>
    <t>''32''</t>
    <phoneticPr fontId="4" type="noConversion"/>
  </si>
  <si>
    <t>''33''</t>
    <phoneticPr fontId="4" type="noConversion"/>
  </si>
  <si>
    <t>''34''</t>
    <phoneticPr fontId="4" type="noConversion"/>
  </si>
  <si>
    <t>''35''</t>
    <phoneticPr fontId="4" type="noConversion"/>
  </si>
  <si>
    <t>''36''</t>
    <phoneticPr fontId="4" type="noConversion"/>
  </si>
  <si>
    <t>''37''</t>
    <phoneticPr fontId="4" type="noConversion"/>
  </si>
  <si>
    <t>''38''</t>
    <phoneticPr fontId="4" type="noConversion"/>
  </si>
  <si>
    <t>''39''</t>
    <phoneticPr fontId="4" type="noConversion"/>
  </si>
  <si>
    <t>Protocol Flow</t>
    <phoneticPr fontId="4" type="noConversion"/>
  </si>
  <si>
    <t>Robot(STM32)</t>
    <phoneticPr fontId="4" type="noConversion"/>
  </si>
  <si>
    <t>Main(RaspberryPI)</t>
    <phoneticPr fontId="4" type="noConversion"/>
  </si>
  <si>
    <t>Lift(STM32)</t>
    <phoneticPr fontId="4" type="noConversion"/>
  </si>
  <si>
    <t>Power On</t>
    <phoneticPr fontId="4" type="noConversion"/>
  </si>
  <si>
    <t>&lt;-- 위치 정보</t>
    <phoneticPr fontId="4" type="noConversion"/>
  </si>
  <si>
    <t>대기 상태</t>
    <phoneticPr fontId="4" type="noConversion"/>
  </si>
  <si>
    <t>완료</t>
    <phoneticPr fontId="4" type="noConversion"/>
  </si>
  <si>
    <t>Commend</t>
    <phoneticPr fontId="4" type="noConversion"/>
  </si>
  <si>
    <t>각 기기 전원 On</t>
    <phoneticPr fontId="4" type="noConversion"/>
  </si>
  <si>
    <t>USART2_TX</t>
    <phoneticPr fontId="4" type="noConversion"/>
  </si>
  <si>
    <t>USART2_RX</t>
    <phoneticPr fontId="4" type="noConversion"/>
  </si>
  <si>
    <t>BlueTooth Module</t>
    <phoneticPr fontId="4" type="noConversion"/>
  </si>
  <si>
    <t>c</t>
    <phoneticPr fontId="4" type="noConversion"/>
  </si>
  <si>
    <t>GPIO_PIN_10</t>
    <phoneticPr fontId="4" type="noConversion"/>
  </si>
  <si>
    <t>USART3_TX</t>
    <phoneticPr fontId="4" type="noConversion"/>
  </si>
  <si>
    <t>USART3_RX</t>
    <phoneticPr fontId="4" type="noConversion"/>
  </si>
  <si>
    <t>9600 Bits/s</t>
    <phoneticPr fontId="4" type="noConversion"/>
  </si>
  <si>
    <t>GPIOG</t>
    <phoneticPr fontId="4" type="noConversion"/>
  </si>
  <si>
    <t>USART6_TX</t>
    <phoneticPr fontId="4" type="noConversion"/>
  </si>
  <si>
    <t>USART6_RX</t>
    <phoneticPr fontId="4" type="noConversion"/>
  </si>
  <si>
    <t>Byte</t>
    <phoneticPr fontId="4" type="noConversion"/>
  </si>
  <si>
    <t>UART2</t>
    <phoneticPr fontId="4" type="noConversion"/>
  </si>
  <si>
    <t>Position Data Frame</t>
    <phoneticPr fontId="4" type="noConversion"/>
  </si>
  <si>
    <t>ioType/Side</t>
    <phoneticPr fontId="4" type="noConversion"/>
  </si>
  <si>
    <t>ESP Data Frame</t>
    <phoneticPr fontId="4" type="noConversion"/>
  </si>
  <si>
    <t>Encoder</t>
    <phoneticPr fontId="4" type="noConversion"/>
  </si>
  <si>
    <t>Encoder PPR</t>
    <phoneticPr fontId="4" type="noConversion"/>
  </si>
  <si>
    <t>Multiple Ratio</t>
    <phoneticPr fontId="4" type="noConversion"/>
  </si>
  <si>
    <t>Gear Ratio</t>
    <phoneticPr fontId="4" type="noConversion"/>
  </si>
  <si>
    <t>Circumference (cm)</t>
    <phoneticPr fontId="4" type="noConversion"/>
  </si>
  <si>
    <t>Encoder counts per cm</t>
    <phoneticPr fontId="4" type="noConversion"/>
  </si>
  <si>
    <t>Motor Specifications</t>
  </si>
  <si>
    <t>Wheel Specifications</t>
    <phoneticPr fontId="4" type="noConversion"/>
  </si>
  <si>
    <t>Diameter (cm)</t>
    <phoneticPr fontId="4" type="noConversion"/>
  </si>
  <si>
    <t>Axis Encoder counts</t>
    <phoneticPr fontId="4" type="noConversion"/>
  </si>
  <si>
    <t>1 Revolution counts</t>
    <phoneticPr fontId="4" type="noConversion"/>
  </si>
  <si>
    <t>전방</t>
    <phoneticPr fontId="4" type="noConversion"/>
  </si>
  <si>
    <t>후방</t>
    <phoneticPr fontId="4" type="noConversion"/>
  </si>
  <si>
    <t>Body</t>
    <phoneticPr fontId="4" type="noConversion"/>
  </si>
  <si>
    <t>Primary Slide</t>
    <phoneticPr fontId="4" type="noConversion"/>
  </si>
  <si>
    <t>Secondary Slide</t>
    <phoneticPr fontId="4" type="noConversion"/>
  </si>
  <si>
    <t>Slide</t>
    <phoneticPr fontId="4" type="noConversion"/>
  </si>
  <si>
    <t>s</t>
    <phoneticPr fontId="4" type="noConversion"/>
  </si>
  <si>
    <t>Gripper</t>
    <phoneticPr fontId="4" type="noConversion"/>
  </si>
  <si>
    <t>input</t>
    <phoneticPr fontId="4" type="noConversion"/>
  </si>
  <si>
    <t>output</t>
    <phoneticPr fontId="4" type="noConversion"/>
  </si>
  <si>
    <t>입/출고 선택</t>
    <phoneticPr fontId="4" type="noConversion"/>
  </si>
  <si>
    <t>물품 유무 --&gt;</t>
    <phoneticPr fontId="4" type="noConversion"/>
  </si>
  <si>
    <t>로봇 리프트 탑승 --&gt;</t>
    <phoneticPr fontId="4" type="noConversion"/>
  </si>
  <si>
    <t>리프트 출발 --&gt;</t>
    <phoneticPr fontId="4" type="noConversion"/>
  </si>
  <si>
    <t>&lt;-- 리프트 도착</t>
    <phoneticPr fontId="4" type="noConversion"/>
  </si>
  <si>
    <t>&lt;-- 로봇 전진 신호</t>
    <phoneticPr fontId="4" type="noConversion"/>
  </si>
  <si>
    <t>&lt;-- 로봇 후진 신호</t>
    <phoneticPr fontId="4" type="noConversion"/>
  </si>
  <si>
    <t>로봇 초기 상태 도착 --&gt;</t>
    <phoneticPr fontId="4" type="noConversion"/>
  </si>
  <si>
    <t>로봇 및 리프트 대기 / Main에서 입,출고 선택 화면 출력</t>
    <phoneticPr fontId="4" type="noConversion"/>
  </si>
  <si>
    <t>Main이 로봇에게 입,출고 위치 정보 송신</t>
    <phoneticPr fontId="4" type="noConversion"/>
  </si>
  <si>
    <t>Main이 리프트에 상승 명령 송신</t>
    <phoneticPr fontId="4" type="noConversion"/>
  </si>
  <si>
    <t>리프트가 도착 후 Main에 도착 신호 송신</t>
    <phoneticPr fontId="4" type="noConversion"/>
  </si>
  <si>
    <t>Main이 로봇에 전진 명령 송신</t>
    <phoneticPr fontId="4" type="noConversion"/>
  </si>
  <si>
    <t>로봇이 작업 완료 후 리프트 탑승 위치로 복귀, 탑승 완료 신호 송신</t>
    <phoneticPr fontId="4" type="noConversion"/>
  </si>
  <si>
    <t>Main이 리프트에 하강 명령 송신</t>
    <phoneticPr fontId="4" type="noConversion"/>
  </si>
  <si>
    <t>Main이 로봇에 후진 명령 송신</t>
    <phoneticPr fontId="4" type="noConversion"/>
  </si>
  <si>
    <t>로봇이 초기 위치로 복귀 후 완료 신호 송신</t>
    <phoneticPr fontId="4" type="noConversion"/>
  </si>
  <si>
    <t>전체 작업 완료</t>
    <phoneticPr fontId="4" type="noConversion"/>
  </si>
  <si>
    <t>로봇이 리프트 탑승 위치로 이동 후 탑승 완료 신호 송신</t>
    <phoneticPr fontId="4" type="noConversion"/>
  </si>
  <si>
    <t>로봇이 물품 적재 여부를 인터럽트 방식으로 신호 송신</t>
    <phoneticPr fontId="4" type="noConversion"/>
  </si>
  <si>
    <t>Tx Data</t>
    <phoneticPr fontId="4" type="noConversion"/>
  </si>
  <si>
    <t>'0~3','0~9'</t>
    <phoneticPr fontId="4" type="noConversion"/>
  </si>
  <si>
    <t xml:space="preserve">  </t>
    <phoneticPr fontId="4" type="noConversion"/>
  </si>
  <si>
    <t xml:space="preserve">                           </t>
    <phoneticPr fontId="4" type="noConversion"/>
  </si>
  <si>
    <t>cell count</t>
    <phoneticPr fontId="4" type="noConversion"/>
  </si>
  <si>
    <t>Init  ↔  Lift</t>
    <phoneticPr fontId="4" type="noConversion"/>
  </si>
  <si>
    <t>Lift  ↔  1 cell</t>
    <phoneticPr fontId="4" type="noConversion"/>
  </si>
  <si>
    <t>Lift  ↔  2 cell</t>
    <phoneticPr fontId="4" type="noConversion"/>
  </si>
  <si>
    <t>Lift  ↔  3 cell</t>
    <phoneticPr fontId="4" type="noConversion"/>
  </si>
  <si>
    <t>cm</t>
    <phoneticPr fontId="4" type="noConversion"/>
  </si>
  <si>
    <t>HIGH</t>
    <phoneticPr fontId="4" type="noConversion"/>
  </si>
  <si>
    <t>물품 인식X</t>
    <phoneticPr fontId="4" type="noConversion"/>
  </si>
  <si>
    <t>물품 인식 O</t>
    <phoneticPr fontId="4" type="noConversion"/>
  </si>
  <si>
    <t>LOW</t>
    <phoneticPr fontId="4" type="noConversion"/>
  </si>
  <si>
    <t>'0', '1'</t>
    <phoneticPr fontId="4" type="noConversion"/>
  </si>
  <si>
    <t>GPIO_EXTI4</t>
    <phoneticPr fontId="4" type="noConversion"/>
  </si>
  <si>
    <t>물품 확인 O</t>
    <phoneticPr fontId="4" type="noConversion"/>
  </si>
  <si>
    <t>물품 확인 X</t>
    <phoneticPr fontId="4" type="noConversion"/>
  </si>
  <si>
    <t>Check item</t>
    <phoneticPr fontId="4" type="noConversion"/>
  </si>
  <si>
    <t>슬라이드 동작</t>
    <phoneticPr fontId="4" type="noConversion"/>
  </si>
  <si>
    <t>종료</t>
    <phoneticPr fontId="4" type="noConversion"/>
  </si>
  <si>
    <t>서보 모터 동작</t>
    <phoneticPr fontId="4" type="noConversion"/>
  </si>
  <si>
    <t>입/출고 위치 수신</t>
    <phoneticPr fontId="4" type="noConversion"/>
  </si>
  <si>
    <t>리프트 -&gt; 해당 칸 이동</t>
    <phoneticPr fontId="4" type="noConversion"/>
  </si>
  <si>
    <t>해당 칸 -&gt; 리프트 이동</t>
    <phoneticPr fontId="4" type="noConversion"/>
  </si>
  <si>
    <t>리프트 -&gt; 초기 위치 이동</t>
    <phoneticPr fontId="4" type="noConversion"/>
  </si>
  <si>
    <t>초기 위치 -&gt; 리프트 이동</t>
    <phoneticPr fontId="4" type="noConversion"/>
  </si>
  <si>
    <t>동작 내용</t>
    <phoneticPr fontId="4" type="noConversion"/>
  </si>
  <si>
    <t>처리 루틴</t>
    <phoneticPr fontId="4" type="noConversion"/>
  </si>
  <si>
    <t>[A]</t>
    <phoneticPr fontId="4" type="noConversion"/>
  </si>
  <si>
    <t>[D]</t>
    <phoneticPr fontId="4" type="noConversion"/>
  </si>
  <si>
    <t>[C]</t>
    <phoneticPr fontId="4" type="noConversion"/>
  </si>
  <si>
    <t>[E]</t>
    <phoneticPr fontId="4" type="noConversion"/>
  </si>
  <si>
    <t>다음 단계로 이동</t>
    <phoneticPr fontId="4" type="noConversion"/>
  </si>
  <si>
    <t>입/출고 데이터 수신 대기</t>
    <phoneticPr fontId="4" type="noConversion"/>
  </si>
  <si>
    <t>이동 완료 후 정지 및 다음 단계 진행</t>
    <phoneticPr fontId="4" type="noConversion"/>
  </si>
  <si>
    <t>세부 동작 단계</t>
    <phoneticPr fontId="4" type="noConversion"/>
  </si>
  <si>
    <t>승강 동작 명령 송신</t>
    <phoneticPr fontId="4" type="noConversion"/>
  </si>
  <si>
    <t>도착 시 다음 단계 진행</t>
    <phoneticPr fontId="4" type="noConversion"/>
  </si>
  <si>
    <t>1,2차 슬라이드 동작 시작</t>
    <phoneticPr fontId="4" type="noConversion"/>
  </si>
  <si>
    <t>종료 신호 송신</t>
    <phoneticPr fontId="4" type="noConversion"/>
  </si>
  <si>
    <t>시스템 대기 상태로 전환</t>
    <phoneticPr fontId="4" type="noConversion"/>
  </si>
  <si>
    <t>루틴 이름</t>
    <phoneticPr fontId="4" type="noConversion"/>
  </si>
  <si>
    <t>리프트 승강 대기 동작</t>
    <phoneticPr fontId="4" type="noConversion"/>
  </si>
  <si>
    <t>종료 처리</t>
    <phoneticPr fontId="4" type="noConversion"/>
  </si>
  <si>
    <t>수신된 데이터 유효성 확인</t>
    <phoneticPr fontId="4" type="noConversion"/>
  </si>
  <si>
    <t>수신된 데이터 파싱 및 변수 저장(입/출고, 좌/우. 층, 칸)</t>
    <phoneticPr fontId="4" type="noConversion"/>
  </si>
  <si>
    <t>반복 여부</t>
    <phoneticPr fontId="4" type="noConversion"/>
  </si>
  <si>
    <t>반복</t>
    <phoneticPr fontId="4" type="noConversion"/>
  </si>
  <si>
    <t>1회</t>
    <phoneticPr fontId="4" type="noConversion"/>
  </si>
  <si>
    <t>입/출고 슬라이드 동작</t>
    <phoneticPr fontId="4" type="noConversion"/>
  </si>
  <si>
    <t>리프트 도착 신호 수신 대기</t>
    <phoneticPr fontId="4" type="noConversion"/>
  </si>
  <si>
    <t>동작 단계</t>
    <phoneticPr fontId="4" type="noConversion"/>
  </si>
  <si>
    <t>이동 관련 데이터 초기화</t>
    <phoneticPr fontId="4" type="noConversion"/>
  </si>
  <si>
    <t>입/출고 관련 및 통신 데이터 초기화</t>
    <phoneticPr fontId="4" type="noConversion"/>
  </si>
  <si>
    <t>목표 거리 계산</t>
    <phoneticPr fontId="4" type="noConversion"/>
  </si>
  <si>
    <t>모터 구동 시작</t>
    <phoneticPr fontId="4" type="noConversion"/>
  </si>
  <si>
    <t>리프트 승강 및 통신 데이터 초기화</t>
    <phoneticPr fontId="4" type="noConversion"/>
  </si>
  <si>
    <t>입/출고 슬라이드 관련 데이터 초기화</t>
    <phoneticPr fontId="4" type="noConversion"/>
  </si>
  <si>
    <t>리프트 상승 대기</t>
    <phoneticPr fontId="4" type="noConversion"/>
  </si>
  <si>
    <t>리프트 하강 대기</t>
    <phoneticPr fontId="4" type="noConversion"/>
  </si>
  <si>
    <t>동작 완료까지 대기 및 정지</t>
    <phoneticPr fontId="4" type="noConversion"/>
  </si>
  <si>
    <t>동작 완료까지 대기 및 정지(칸)</t>
    <phoneticPr fontId="4" type="noConversion"/>
  </si>
  <si>
    <t>1,2차 슬라이드 동작 시작(복귀)</t>
    <phoneticPr fontId="4" type="noConversion"/>
  </si>
  <si>
    <t>다음 단계 진행</t>
    <phoneticPr fontId="4" type="noConversion"/>
  </si>
  <si>
    <t>''A''</t>
    <phoneticPr fontId="4" type="noConversion"/>
  </si>
  <si>
    <t>''B''</t>
    <phoneticPr fontId="4" type="noConversion"/>
  </si>
  <si>
    <t>''C''</t>
    <phoneticPr fontId="4" type="noConversion"/>
  </si>
  <si>
    <t>''D''</t>
    <phoneticPr fontId="4" type="noConversion"/>
  </si>
  <si>
    <t>''E''</t>
    <phoneticPr fontId="4" type="noConversion"/>
  </si>
  <si>
    <t>''F''</t>
    <phoneticPr fontId="4" type="noConversion"/>
  </si>
  <si>
    <t>''G''</t>
    <phoneticPr fontId="4" type="noConversion"/>
  </si>
  <si>
    <t>''H''</t>
    <phoneticPr fontId="4" type="noConversion"/>
  </si>
  <si>
    <t>''I''</t>
    <phoneticPr fontId="4" type="noConversion"/>
  </si>
  <si>
    <t>''a''</t>
    <phoneticPr fontId="4" type="noConversion"/>
  </si>
  <si>
    <t>''b''</t>
    <phoneticPr fontId="4" type="noConversion"/>
  </si>
  <si>
    <t>''c''</t>
    <phoneticPr fontId="4" type="noConversion"/>
  </si>
  <si>
    <t>''d''</t>
    <phoneticPr fontId="4" type="noConversion"/>
  </si>
  <si>
    <t>''e''</t>
    <phoneticPr fontId="4" type="noConversion"/>
  </si>
  <si>
    <t>''f''</t>
    <phoneticPr fontId="4" type="noConversion"/>
  </si>
  <si>
    <t>''g''</t>
    <phoneticPr fontId="4" type="noConversion"/>
  </si>
  <si>
    <t>''h''</t>
    <phoneticPr fontId="4" type="noConversion"/>
  </si>
  <si>
    <t>''i''</t>
    <phoneticPr fontId="4" type="noConversion"/>
  </si>
  <si>
    <t>''J''</t>
    <phoneticPr fontId="4" type="noConversion"/>
  </si>
  <si>
    <t>''j''</t>
    <phoneticPr fontId="4" type="noConversion"/>
  </si>
  <si>
    <t>''K''</t>
    <phoneticPr fontId="4" type="noConversion"/>
  </si>
  <si>
    <t>''L''</t>
    <phoneticPr fontId="4" type="noConversion"/>
  </si>
  <si>
    <t>''M''</t>
    <phoneticPr fontId="4" type="noConversion"/>
  </si>
  <si>
    <t>''N''</t>
    <phoneticPr fontId="4" type="noConversion"/>
  </si>
  <si>
    <t>''O''</t>
    <phoneticPr fontId="4" type="noConversion"/>
  </si>
  <si>
    <t>''P''</t>
    <phoneticPr fontId="4" type="noConversion"/>
  </si>
  <si>
    <t>''Q''</t>
    <phoneticPr fontId="4" type="noConversion"/>
  </si>
  <si>
    <t>''R''</t>
    <phoneticPr fontId="4" type="noConversion"/>
  </si>
  <si>
    <t>''k''</t>
    <phoneticPr fontId="4" type="noConversion"/>
  </si>
  <si>
    <t>''l''</t>
    <phoneticPr fontId="4" type="noConversion"/>
  </si>
  <si>
    <t>''m''</t>
    <phoneticPr fontId="4" type="noConversion"/>
  </si>
  <si>
    <t>''n''</t>
    <phoneticPr fontId="4" type="noConversion"/>
  </si>
  <si>
    <t>''o''</t>
    <phoneticPr fontId="4" type="noConversion"/>
  </si>
  <si>
    <t>''p''</t>
    <phoneticPr fontId="4" type="noConversion"/>
  </si>
  <si>
    <t>''q''</t>
    <phoneticPr fontId="4" type="noConversion"/>
  </si>
  <si>
    <t>''r''</t>
    <phoneticPr fontId="4" type="noConversion"/>
  </si>
  <si>
    <t>대</t>
    <phoneticPr fontId="4" type="noConversion"/>
  </si>
  <si>
    <t>소</t>
    <phoneticPr fontId="4" type="noConversion"/>
  </si>
  <si>
    <t>A</t>
    <phoneticPr fontId="4" type="noConversion"/>
  </si>
  <si>
    <t>a</t>
    <phoneticPr fontId="4" type="noConversion"/>
  </si>
  <si>
    <t>b</t>
    <phoneticPr fontId="4" type="noConversion"/>
  </si>
  <si>
    <t>d</t>
    <phoneticPr fontId="4" type="noConversion"/>
  </si>
  <si>
    <t>e</t>
    <phoneticPr fontId="4" type="noConversion"/>
  </si>
  <si>
    <t>f</t>
    <phoneticPr fontId="4" type="noConversion"/>
  </si>
  <si>
    <t>g</t>
    <phoneticPr fontId="4" type="noConversion"/>
  </si>
  <si>
    <t>h</t>
    <phoneticPr fontId="4" type="noConversion"/>
  </si>
  <si>
    <t>i</t>
    <phoneticPr fontId="4" type="noConversion"/>
  </si>
  <si>
    <t>j</t>
    <phoneticPr fontId="4" type="noConversion"/>
  </si>
  <si>
    <t>k</t>
    <phoneticPr fontId="4" type="noConversion"/>
  </si>
  <si>
    <t>l</t>
    <phoneticPr fontId="4" type="noConversion"/>
  </si>
  <si>
    <t>m</t>
    <phoneticPr fontId="4" type="noConversion"/>
  </si>
  <si>
    <t>n</t>
    <phoneticPr fontId="4" type="noConversion"/>
  </si>
  <si>
    <t>o</t>
    <phoneticPr fontId="4" type="noConversion"/>
  </si>
  <si>
    <t>p</t>
    <phoneticPr fontId="4" type="noConversion"/>
  </si>
  <si>
    <t>q</t>
    <phoneticPr fontId="4" type="noConversion"/>
  </si>
  <si>
    <t>r</t>
    <phoneticPr fontId="4" type="noConversion"/>
  </si>
  <si>
    <t>B</t>
    <phoneticPr fontId="4" type="noConversion"/>
  </si>
  <si>
    <t>C</t>
    <phoneticPr fontId="4" type="noConversion"/>
  </si>
  <si>
    <t>D</t>
    <phoneticPr fontId="4" type="noConversion"/>
  </si>
  <si>
    <t>E</t>
    <phoneticPr fontId="4" type="noConversion"/>
  </si>
  <si>
    <t>F</t>
    <phoneticPr fontId="4" type="noConversion"/>
  </si>
  <si>
    <t>G</t>
    <phoneticPr fontId="4" type="noConversion"/>
  </si>
  <si>
    <t>H</t>
    <phoneticPr fontId="4" type="noConversion"/>
  </si>
  <si>
    <t>I</t>
    <phoneticPr fontId="4" type="noConversion"/>
  </si>
  <si>
    <t>J</t>
    <phoneticPr fontId="4" type="noConversion"/>
  </si>
  <si>
    <t>K</t>
    <phoneticPr fontId="4" type="noConversion"/>
  </si>
  <si>
    <t>L</t>
    <phoneticPr fontId="4" type="noConversion"/>
  </si>
  <si>
    <t>M</t>
    <phoneticPr fontId="4" type="noConversion"/>
  </si>
  <si>
    <t>N</t>
    <phoneticPr fontId="4" type="noConversion"/>
  </si>
  <si>
    <t>Q</t>
    <phoneticPr fontId="4" type="noConversion"/>
  </si>
  <si>
    <t>P</t>
    <phoneticPr fontId="4" type="noConversion"/>
  </si>
  <si>
    <t>R</t>
    <phoneticPr fontId="4" type="noConversion"/>
  </si>
  <si>
    <t>[B-1]</t>
    <phoneticPr fontId="4" type="noConversion"/>
  </si>
  <si>
    <t>이동 완료 후 정지 및 [B-2] 단계 진행</t>
    <phoneticPr fontId="4" type="noConversion"/>
  </si>
  <si>
    <t>[B-2]</t>
    <phoneticPr fontId="4" type="noConversion"/>
  </si>
  <si>
    <t>[B-1] -&gt; [B-2]</t>
    <phoneticPr fontId="4" type="noConversion"/>
  </si>
  <si>
    <t>엔코더를 이용한 이동 동작</t>
    <phoneticPr fontId="4" type="noConversion"/>
  </si>
  <si>
    <t>거리 센서를 이용한 이동 동작</t>
    <phoneticPr fontId="4" type="noConversion"/>
  </si>
  <si>
    <t>거리 센서 기준 도착 대기(속도 일정)</t>
    <phoneticPr fontId="4" type="noConversion"/>
  </si>
  <si>
    <t>엔코더 기준 도착 대기(속도 가변)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</si>
</sst>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b/>
      <sz val="8"/>
      <color theme="1"/>
      <name val="맑은 고딕"/>
      <family val="2"/>
      <charset val="129"/>
      <scheme val="minor"/>
    </font>
    <font>
      <b/>
      <sz val="25"/>
      <color theme="1"/>
      <name val="맑은 고딕"/>
      <family val="2"/>
      <scheme val="minor"/>
    </font>
    <font>
      <b/>
      <sz val="10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40"/>
      <color theme="1"/>
      <name val="맑은 고딕"/>
      <family val="2"/>
    </font>
    <font>
      <sz val="11"/>
      <color rgb="FFFF0000"/>
      <name val="맑은 고딕"/>
      <family val="2"/>
      <scheme val="minor"/>
    </font>
    <font>
      <sz val="11"/>
      <color rgb="FF0070C0"/>
      <name val="맑은 고딕"/>
      <family val="2"/>
      <charset val="129"/>
      <scheme val="minor"/>
    </font>
    <font>
      <sz val="11"/>
      <color rgb="FF0070C0"/>
      <name val="맑은 고딕"/>
      <family val="2"/>
      <scheme val="minor"/>
    </font>
    <font>
      <sz val="11"/>
      <color rgb="FFEE0000"/>
      <name val="맑은 고딕"/>
      <family val="2"/>
      <charset val="129"/>
      <scheme val="minor"/>
    </font>
    <font>
      <sz val="11"/>
      <color rgb="FFEE0000"/>
      <name val="맑은 고딕"/>
      <family val="2"/>
      <scheme val="minor"/>
    </font>
    <font>
      <sz val="8"/>
      <color theme="1"/>
      <name val="맑은 고딕"/>
      <family val="2"/>
      <charset val="129"/>
      <scheme val="minor"/>
    </font>
    <font>
      <sz val="11"/>
      <color theme="1" tint="0.499984740745262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0"/>
      <name val="맑은 고딕"/>
      <family val="2"/>
      <scheme val="minor"/>
    </font>
    <font>
      <b/>
      <sz val="11"/>
      <color rgb="FFEE0000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20"/>
      <color theme="1"/>
      <name val="맑은 고딕"/>
      <family val="2"/>
      <scheme val="minor"/>
    </font>
    <font>
      <sz val="28"/>
      <color theme="1"/>
      <name val="맑은 고딕"/>
      <family val="2"/>
      <scheme val="minor"/>
    </font>
    <font>
      <b/>
      <sz val="28"/>
      <color theme="1"/>
      <name val="맑은 고딕"/>
      <family val="2"/>
      <scheme val="minor"/>
    </font>
    <font>
      <b/>
      <sz val="28"/>
      <color theme="1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7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EE0000"/>
      </left>
      <right style="medium">
        <color rgb="FFEE0000"/>
      </right>
      <top style="medium">
        <color rgb="FFEE0000"/>
      </top>
      <bottom/>
      <diagonal/>
    </border>
    <border>
      <left style="medium">
        <color rgb="FFEE0000"/>
      </left>
      <right style="medium">
        <color rgb="FFEE0000"/>
      </right>
      <top/>
      <bottom style="medium">
        <color rgb="FFEE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26">
    <xf numFmtId="0" fontId="0" fillId="0" borderId="0" xfId="0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5" fillId="7" borderId="10" xfId="0" applyFont="1" applyFill="1" applyBorder="1" applyAlignment="1">
      <alignment horizontal="center" vertical="center"/>
    </xf>
    <xf numFmtId="0" fontId="5" fillId="9" borderId="13" xfId="0" applyFont="1" applyFill="1" applyBorder="1" applyAlignment="1">
      <alignment horizontal="center" vertical="center"/>
    </xf>
    <xf numFmtId="0" fontId="5" fillId="9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0" fillId="7" borderId="3" xfId="0" applyFill="1" applyBorder="1">
      <alignment vertical="center"/>
    </xf>
    <xf numFmtId="0" fontId="9" fillId="0" borderId="24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9" borderId="3" xfId="0" applyFill="1" applyBorder="1">
      <alignment vertical="center"/>
    </xf>
    <xf numFmtId="0" fontId="0" fillId="3" borderId="3" xfId="0" applyFill="1" applyBorder="1">
      <alignment vertical="center"/>
    </xf>
    <xf numFmtId="0" fontId="0" fillId="4" borderId="3" xfId="0" applyFill="1" applyBorder="1">
      <alignment vertical="center"/>
    </xf>
    <xf numFmtId="0" fontId="0" fillId="10" borderId="3" xfId="0" applyFill="1" applyBorder="1">
      <alignment vertical="center"/>
    </xf>
    <xf numFmtId="20" fontId="0" fillId="0" borderId="20" xfId="0" quotePrefix="1" applyNumberFormat="1" applyBorder="1" applyAlignment="1">
      <alignment horizontal="center" vertical="center"/>
    </xf>
    <xf numFmtId="20" fontId="0" fillId="0" borderId="0" xfId="0" quotePrefix="1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13" xfId="0" quotePrefix="1" applyBorder="1" applyAlignment="1">
      <alignment horizontal="center" vertical="center"/>
    </xf>
    <xf numFmtId="0" fontId="0" fillId="0" borderId="16" xfId="0" quotePrefix="1" applyBorder="1" applyAlignment="1">
      <alignment horizontal="center" vertical="center"/>
    </xf>
    <xf numFmtId="0" fontId="0" fillId="0" borderId="52" xfId="0" quotePrefix="1" applyBorder="1" applyAlignment="1">
      <alignment horizontal="center" vertical="center"/>
    </xf>
    <xf numFmtId="0" fontId="0" fillId="0" borderId="53" xfId="0" quotePrefix="1" applyBorder="1" applyAlignment="1">
      <alignment horizontal="center" vertical="center"/>
    </xf>
    <xf numFmtId="20" fontId="3" fillId="0" borderId="20" xfId="0" quotePrefix="1" applyNumberFormat="1" applyFont="1" applyBorder="1" applyAlignment="1">
      <alignment horizontal="center" vertical="center"/>
    </xf>
    <xf numFmtId="20" fontId="3" fillId="0" borderId="0" xfId="0" quotePrefix="1" applyNumberFormat="1" applyFont="1" applyAlignment="1">
      <alignment horizontal="center" vertical="center"/>
    </xf>
    <xf numFmtId="20" fontId="3" fillId="0" borderId="21" xfId="0" quotePrefix="1" applyNumberFormat="1" applyFont="1" applyBorder="1" applyAlignment="1">
      <alignment horizontal="center" vertical="center"/>
    </xf>
    <xf numFmtId="20" fontId="0" fillId="0" borderId="11" xfId="0" quotePrefix="1" applyNumberFormat="1" applyBorder="1" applyAlignment="1">
      <alignment horizontal="center" vertical="center"/>
    </xf>
    <xf numFmtId="0" fontId="0" fillId="5" borderId="19" xfId="0" applyFill="1" applyBorder="1">
      <alignment vertical="center"/>
    </xf>
    <xf numFmtId="0" fontId="17" fillId="0" borderId="20" xfId="0" applyFont="1" applyBorder="1" applyAlignment="1">
      <alignment vertical="top"/>
    </xf>
    <xf numFmtId="0" fontId="0" fillId="5" borderId="3" xfId="0" applyFill="1" applyBorder="1">
      <alignment vertical="center"/>
    </xf>
    <xf numFmtId="0" fontId="0" fillId="7" borderId="17" xfId="0" applyFill="1" applyBorder="1">
      <alignment vertical="center"/>
    </xf>
    <xf numFmtId="0" fontId="0" fillId="9" borderId="41" xfId="0" applyFill="1" applyBorder="1">
      <alignment vertical="center"/>
    </xf>
    <xf numFmtId="0" fontId="0" fillId="3" borderId="41" xfId="0" applyFill="1" applyBorder="1">
      <alignment vertical="center"/>
    </xf>
    <xf numFmtId="0" fontId="0" fillId="10" borderId="41" xfId="0" applyFill="1" applyBorder="1">
      <alignment vertical="center"/>
    </xf>
    <xf numFmtId="0" fontId="0" fillId="4" borderId="41" xfId="0" applyFill="1" applyBorder="1">
      <alignment vertical="center"/>
    </xf>
    <xf numFmtId="0" fontId="0" fillId="11" borderId="41" xfId="0" applyFill="1" applyBorder="1">
      <alignment vertical="center"/>
    </xf>
    <xf numFmtId="0" fontId="0" fillId="5" borderId="41" xfId="0" applyFill="1" applyBorder="1">
      <alignment vertical="center"/>
    </xf>
    <xf numFmtId="0" fontId="0" fillId="12" borderId="41" xfId="0" applyFill="1" applyBorder="1">
      <alignment vertical="center"/>
    </xf>
    <xf numFmtId="0" fontId="5" fillId="0" borderId="18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0" fillId="6" borderId="41" xfId="0" applyFill="1" applyBorder="1">
      <alignment vertical="center"/>
    </xf>
    <xf numFmtId="0" fontId="19" fillId="12" borderId="13" xfId="0" applyFont="1" applyFill="1" applyBorder="1" applyAlignment="1">
      <alignment horizontal="center" vertical="center"/>
    </xf>
    <xf numFmtId="0" fontId="20" fillId="12" borderId="16" xfId="0" applyFont="1" applyFill="1" applyBorder="1" applyAlignment="1">
      <alignment horizontal="center" vertical="center"/>
    </xf>
    <xf numFmtId="0" fontId="0" fillId="12" borderId="3" xfId="0" applyFill="1" applyBorder="1">
      <alignment vertical="center"/>
    </xf>
    <xf numFmtId="0" fontId="5" fillId="14" borderId="13" xfId="0" applyFont="1" applyFill="1" applyBorder="1" applyAlignment="1">
      <alignment horizontal="center" vertical="center"/>
    </xf>
    <xf numFmtId="0" fontId="18" fillId="14" borderId="14" xfId="0" applyFont="1" applyFill="1" applyBorder="1">
      <alignment vertical="center"/>
    </xf>
    <xf numFmtId="0" fontId="18" fillId="14" borderId="7" xfId="0" applyFont="1" applyFill="1" applyBorder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21" fillId="0" borderId="60" xfId="0" applyFont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5" fillId="0" borderId="0" xfId="0" applyFont="1">
      <alignment vertical="center"/>
    </xf>
    <xf numFmtId="0" fontId="24" fillId="0" borderId="0" xfId="0" applyFont="1">
      <alignment vertical="center"/>
    </xf>
    <xf numFmtId="0" fontId="5" fillId="6" borderId="13" xfId="0" applyFont="1" applyFill="1" applyBorder="1" applyAlignment="1">
      <alignment horizontal="center" vertical="center"/>
    </xf>
    <xf numFmtId="0" fontId="0" fillId="6" borderId="7" xfId="0" applyFill="1" applyBorder="1">
      <alignment vertical="center"/>
    </xf>
    <xf numFmtId="0" fontId="5" fillId="6" borderId="12" xfId="0" applyFont="1" applyFill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0" fillId="16" borderId="68" xfId="0" applyFill="1" applyBorder="1" applyAlignment="1">
      <alignment horizontal="center" vertical="center"/>
    </xf>
    <xf numFmtId="0" fontId="0" fillId="16" borderId="69" xfId="0" applyFill="1" applyBorder="1" applyAlignment="1">
      <alignment horizontal="center" vertical="center"/>
    </xf>
    <xf numFmtId="0" fontId="0" fillId="16" borderId="67" xfId="0" applyFill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16" borderId="0" xfId="0" applyFill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16" borderId="54" xfId="0" applyFill="1" applyBorder="1" applyAlignment="1">
      <alignment horizontal="left" vertical="center"/>
    </xf>
    <xf numFmtId="0" fontId="0" fillId="16" borderId="13" xfId="0" applyFill="1" applyBorder="1" applyAlignment="1">
      <alignment horizontal="left" vertical="center"/>
    </xf>
    <xf numFmtId="0" fontId="0" fillId="16" borderId="12" xfId="0" applyFill="1" applyBorder="1" applyAlignment="1">
      <alignment horizontal="center" vertical="center"/>
    </xf>
    <xf numFmtId="0" fontId="0" fillId="16" borderId="13" xfId="0" applyFill="1" applyBorder="1" applyAlignment="1">
      <alignment horizontal="center" vertical="center"/>
    </xf>
    <xf numFmtId="0" fontId="0" fillId="0" borderId="51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16" borderId="50" xfId="0" applyFill="1" applyBorder="1" applyAlignment="1">
      <alignment horizontal="left" vertical="center"/>
    </xf>
    <xf numFmtId="0" fontId="0" fillId="16" borderId="20" xfId="0" applyFill="1" applyBorder="1" applyAlignment="1">
      <alignment horizontal="left" vertical="center"/>
    </xf>
    <xf numFmtId="0" fontId="0" fillId="16" borderId="11" xfId="0" applyFill="1" applyBorder="1" applyAlignment="1">
      <alignment horizontal="left" vertical="center"/>
    </xf>
    <xf numFmtId="0" fontId="6" fillId="14" borderId="20" xfId="0" applyFont="1" applyFill="1" applyBorder="1" applyAlignment="1">
      <alignment horizontal="center" vertical="center"/>
    </xf>
    <xf numFmtId="0" fontId="6" fillId="14" borderId="11" xfId="0" applyFont="1" applyFill="1" applyBorder="1" applyAlignment="1">
      <alignment horizontal="center" vertical="center"/>
    </xf>
    <xf numFmtId="0" fontId="0" fillId="16" borderId="51" xfId="0" applyFill="1" applyBorder="1" applyAlignment="1">
      <alignment horizontal="left" vertical="center"/>
    </xf>
    <xf numFmtId="0" fontId="0" fillId="16" borderId="15" xfId="0" applyFill="1" applyBorder="1" applyAlignment="1">
      <alignment horizontal="left" vertical="center"/>
    </xf>
    <xf numFmtId="0" fontId="0" fillId="16" borderId="16" xfId="0" applyFill="1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5" fillId="14" borderId="9" xfId="0" applyFont="1" applyFill="1" applyBorder="1" applyAlignment="1">
      <alignment horizontal="center" vertical="center"/>
    </xf>
    <xf numFmtId="0" fontId="5" fillId="16" borderId="12" xfId="0" applyFont="1" applyFill="1" applyBorder="1" applyAlignment="1">
      <alignment horizontal="center" vertical="center"/>
    </xf>
    <xf numFmtId="0" fontId="5" fillId="16" borderId="13" xfId="0" applyFont="1" applyFill="1" applyBorder="1" applyAlignment="1">
      <alignment horizontal="center" vertical="center"/>
    </xf>
    <xf numFmtId="0" fontId="0" fillId="16" borderId="14" xfId="0" applyFill="1" applyBorder="1" applyAlignment="1">
      <alignment horizontal="center" vertical="center"/>
    </xf>
    <xf numFmtId="0" fontId="0" fillId="16" borderId="16" xfId="0" applyFill="1" applyBorder="1" applyAlignment="1">
      <alignment horizontal="center" vertical="center"/>
    </xf>
    <xf numFmtId="0" fontId="0" fillId="16" borderId="10" xfId="0" applyFill="1" applyBorder="1" applyAlignment="1">
      <alignment horizontal="center" vertical="center"/>
    </xf>
    <xf numFmtId="0" fontId="0" fillId="16" borderId="11" xfId="0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16" borderId="20" xfId="0" applyFill="1" applyBorder="1" applyAlignment="1">
      <alignment horizontal="center" vertical="center"/>
    </xf>
    <xf numFmtId="0" fontId="5" fillId="13" borderId="7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6" fillId="13" borderId="9" xfId="0" applyFont="1" applyFill="1" applyBorder="1" applyAlignment="1">
      <alignment horizontal="center" vertical="center"/>
    </xf>
    <xf numFmtId="0" fontId="5" fillId="13" borderId="8" xfId="0" applyFont="1" applyFill="1" applyBorder="1" applyAlignment="1">
      <alignment horizontal="center" vertical="center"/>
    </xf>
    <xf numFmtId="0" fontId="5" fillId="13" borderId="9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0" fontId="1" fillId="0" borderId="7" xfId="0" quotePrefix="1" applyNumberFormat="1" applyFont="1" applyBorder="1" applyAlignment="1">
      <alignment horizontal="center" vertical="center"/>
    </xf>
    <xf numFmtId="20" fontId="3" fillId="0" borderId="9" xfId="0" quotePrefix="1" applyNumberFormat="1" applyFont="1" applyBorder="1" applyAlignment="1">
      <alignment horizontal="center" vertical="center"/>
    </xf>
    <xf numFmtId="20" fontId="1" fillId="0" borderId="14" xfId="0" quotePrefix="1" applyNumberFormat="1" applyFont="1" applyBorder="1" applyAlignment="1">
      <alignment horizontal="center" vertical="center"/>
    </xf>
    <xf numFmtId="20" fontId="3" fillId="0" borderId="16" xfId="0" quotePrefix="1" applyNumberFormat="1" applyFont="1" applyBorder="1" applyAlignment="1">
      <alignment horizontal="center" vertical="center"/>
    </xf>
    <xf numFmtId="0" fontId="6" fillId="13" borderId="10" xfId="0" applyFont="1" applyFill="1" applyBorder="1" applyAlignment="1">
      <alignment horizontal="center" vertical="center"/>
    </xf>
    <xf numFmtId="0" fontId="6" fillId="13" borderId="11" xfId="0" applyFont="1" applyFill="1" applyBorder="1" applyAlignment="1">
      <alignment horizontal="center" vertical="center"/>
    </xf>
    <xf numFmtId="0" fontId="5" fillId="14" borderId="14" xfId="0" applyFont="1" applyFill="1" applyBorder="1" applyAlignment="1">
      <alignment horizontal="center" vertical="center"/>
    </xf>
    <xf numFmtId="0" fontId="6" fillId="14" borderId="15" xfId="0" applyFont="1" applyFill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5" fillId="14" borderId="8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top"/>
    </xf>
    <xf numFmtId="0" fontId="17" fillId="0" borderId="13" xfId="0" applyFont="1" applyBorder="1" applyAlignment="1">
      <alignment horizontal="right" vertical="center"/>
    </xf>
    <xf numFmtId="0" fontId="16" fillId="0" borderId="12" xfId="0" quotePrefix="1" applyFont="1" applyBorder="1" applyAlignment="1">
      <alignment horizontal="center" vertical="center"/>
    </xf>
    <xf numFmtId="0" fontId="16" fillId="0" borderId="14" xfId="0" quotePrefix="1" applyFont="1" applyBorder="1" applyAlignment="1">
      <alignment horizontal="center" vertical="center"/>
    </xf>
    <xf numFmtId="0" fontId="14" fillId="0" borderId="11" xfId="0" quotePrefix="1" applyFont="1" applyBorder="1" applyAlignment="1">
      <alignment horizontal="center" vertical="center"/>
    </xf>
    <xf numFmtId="0" fontId="14" fillId="0" borderId="16" xfId="0" quotePrefix="1" applyFont="1" applyBorder="1" applyAlignment="1">
      <alignment horizontal="center" vertical="center"/>
    </xf>
    <xf numFmtId="0" fontId="16" fillId="0" borderId="10" xfId="0" quotePrefix="1" applyFont="1" applyBorder="1" applyAlignment="1">
      <alignment horizontal="center" vertical="center"/>
    </xf>
    <xf numFmtId="0" fontId="15" fillId="0" borderId="10" xfId="0" quotePrefix="1" applyFont="1" applyBorder="1" applyAlignment="1">
      <alignment horizontal="center" vertical="center"/>
    </xf>
    <xf numFmtId="0" fontId="15" fillId="0" borderId="14" xfId="0" quotePrefix="1" applyFont="1" applyBorder="1" applyAlignment="1">
      <alignment horizontal="center" vertical="center"/>
    </xf>
    <xf numFmtId="0" fontId="13" fillId="0" borderId="11" xfId="0" quotePrefix="1" applyFont="1" applyBorder="1" applyAlignment="1">
      <alignment horizontal="center" vertical="center"/>
    </xf>
    <xf numFmtId="0" fontId="13" fillId="0" borderId="16" xfId="0" quotePrefix="1" applyFont="1" applyBorder="1" applyAlignment="1">
      <alignment horizontal="center" vertical="center"/>
    </xf>
    <xf numFmtId="20" fontId="10" fillId="0" borderId="10" xfId="0" quotePrefix="1" applyNumberFormat="1" applyFont="1" applyBorder="1" applyAlignment="1">
      <alignment horizontal="center" vertical="center"/>
    </xf>
    <xf numFmtId="20" fontId="12" fillId="0" borderId="14" xfId="0" quotePrefix="1" applyNumberFormat="1" applyFont="1" applyBorder="1" applyAlignment="1">
      <alignment horizontal="center" vertical="center"/>
    </xf>
    <xf numFmtId="20" fontId="13" fillId="0" borderId="50" xfId="0" quotePrefix="1" applyNumberFormat="1" applyFont="1" applyBorder="1" applyAlignment="1">
      <alignment horizontal="center" vertical="center"/>
    </xf>
    <xf numFmtId="20" fontId="14" fillId="0" borderId="51" xfId="0" quotePrefix="1" applyNumberFormat="1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6" fillId="14" borderId="16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5" fillId="13" borderId="63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5" fillId="14" borderId="20" xfId="0" applyFont="1" applyFill="1" applyBorder="1" applyAlignment="1">
      <alignment horizontal="center" vertical="center"/>
    </xf>
    <xf numFmtId="0" fontId="5" fillId="14" borderId="11" xfId="0" applyFont="1" applyFill="1" applyBorder="1" applyAlignment="1">
      <alignment horizontal="center" vertical="center"/>
    </xf>
    <xf numFmtId="0" fontId="6" fillId="13" borderId="7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15" borderId="62" xfId="0" applyFill="1" applyBorder="1" applyAlignment="1">
      <alignment horizontal="center" vertical="center"/>
    </xf>
    <xf numFmtId="0" fontId="0" fillId="15" borderId="59" xfId="0" applyFill="1" applyBorder="1" applyAlignment="1">
      <alignment horizontal="center" vertical="center"/>
    </xf>
    <xf numFmtId="0" fontId="0" fillId="15" borderId="25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5" borderId="48" xfId="0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0" fillId="15" borderId="31" xfId="0" applyFill="1" applyBorder="1" applyAlignment="1">
      <alignment horizontal="center" vertical="center"/>
    </xf>
    <xf numFmtId="0" fontId="0" fillId="15" borderId="34" xfId="0" applyFill="1" applyBorder="1" applyAlignment="1">
      <alignment horizontal="center" vertical="center"/>
    </xf>
    <xf numFmtId="0" fontId="0" fillId="15" borderId="38" xfId="0" applyFill="1" applyBorder="1" applyAlignment="1">
      <alignment horizontal="center" vertical="center"/>
    </xf>
    <xf numFmtId="0" fontId="0" fillId="15" borderId="39" xfId="0" applyFill="1" applyBorder="1" applyAlignment="1">
      <alignment horizontal="center" vertical="center"/>
    </xf>
    <xf numFmtId="0" fontId="0" fillId="15" borderId="45" xfId="0" applyFill="1" applyBorder="1" applyAlignment="1">
      <alignment horizontal="center" vertical="center"/>
    </xf>
    <xf numFmtId="0" fontId="0" fillId="15" borderId="29" xfId="0" applyFill="1" applyBorder="1" applyAlignment="1">
      <alignment horizontal="center" vertical="center"/>
    </xf>
    <xf numFmtId="0" fontId="0" fillId="15" borderId="33" xfId="0" applyFill="1" applyBorder="1" applyAlignment="1">
      <alignment horizontal="center" vertical="center"/>
    </xf>
    <xf numFmtId="0" fontId="0" fillId="15" borderId="56" xfId="0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15" borderId="41" xfId="0" applyFill="1" applyBorder="1" applyAlignment="1">
      <alignment horizontal="center" vertical="center"/>
    </xf>
    <xf numFmtId="0" fontId="0" fillId="15" borderId="42" xfId="0" applyFill="1" applyBorder="1" applyAlignment="1">
      <alignment horizontal="center" vertical="center"/>
    </xf>
    <xf numFmtId="0" fontId="0" fillId="15" borderId="26" xfId="0" applyFill="1" applyBorder="1" applyAlignment="1">
      <alignment horizontal="center" vertical="center"/>
    </xf>
    <xf numFmtId="0" fontId="0" fillId="15" borderId="30" xfId="0" applyFill="1" applyBorder="1" applyAlignment="1">
      <alignment horizontal="center" vertical="center"/>
    </xf>
    <xf numFmtId="0" fontId="0" fillId="15" borderId="57" xfId="0" applyFill="1" applyBorder="1" applyAlignment="1">
      <alignment horizontal="center" vertical="center"/>
    </xf>
    <xf numFmtId="0" fontId="0" fillId="0" borderId="25" xfId="0" quotePrefix="1" applyBorder="1" applyAlignment="1">
      <alignment horizontal="center" vertical="center"/>
    </xf>
    <xf numFmtId="0" fontId="0" fillId="15" borderId="25" xfId="0" quotePrefix="1" applyFill="1" applyBorder="1" applyAlignment="1">
      <alignment horizontal="center" vertical="center"/>
    </xf>
    <xf numFmtId="0" fontId="0" fillId="15" borderId="33" xfId="0" quotePrefix="1" applyFill="1" applyBorder="1" applyAlignment="1">
      <alignment horizontal="center" vertical="center"/>
    </xf>
    <xf numFmtId="0" fontId="0" fillId="15" borderId="43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13" borderId="14" xfId="0" applyFont="1" applyFill="1" applyBorder="1" applyAlignment="1">
      <alignment horizontal="center" vertical="center"/>
    </xf>
    <xf numFmtId="0" fontId="5" fillId="13" borderId="15" xfId="0" applyFont="1" applyFill="1" applyBorder="1" applyAlignment="1">
      <alignment horizontal="center" vertical="center"/>
    </xf>
    <xf numFmtId="0" fontId="5" fillId="13" borderId="16" xfId="0" applyFont="1" applyFill="1" applyBorder="1" applyAlignment="1">
      <alignment horizontal="center" vertical="center"/>
    </xf>
    <xf numFmtId="0" fontId="5" fillId="13" borderId="10" xfId="0" applyFont="1" applyFill="1" applyBorder="1" applyAlignment="1">
      <alignment horizontal="center" vertical="center"/>
    </xf>
    <xf numFmtId="0" fontId="5" fillId="13" borderId="20" xfId="0" applyFont="1" applyFill="1" applyBorder="1" applyAlignment="1">
      <alignment horizontal="center" vertical="center"/>
    </xf>
    <xf numFmtId="0" fontId="5" fillId="13" borderId="11" xfId="0" applyFont="1" applyFill="1" applyBorder="1" applyAlignment="1">
      <alignment horizontal="center" vertical="center"/>
    </xf>
    <xf numFmtId="0" fontId="5" fillId="13" borderId="12" xfId="0" applyFont="1" applyFill="1" applyBorder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5" fillId="13" borderId="13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0" fontId="0" fillId="14" borderId="20" xfId="0" applyFill="1" applyBorder="1" applyAlignment="1">
      <alignment horizontal="center" vertical="center"/>
    </xf>
    <xf numFmtId="0" fontId="0" fillId="14" borderId="11" xfId="0" applyFill="1" applyBorder="1" applyAlignment="1">
      <alignment horizontal="center" vertical="center"/>
    </xf>
    <xf numFmtId="0" fontId="0" fillId="16" borderId="15" xfId="0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0" fillId="11" borderId="7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0" fillId="0" borderId="0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9</xdr:row>
      <xdr:rowOff>0</xdr:rowOff>
    </xdr:from>
    <xdr:to>
      <xdr:col>17</xdr:col>
      <xdr:colOff>0</xdr:colOff>
      <xdr:row>67</xdr:row>
      <xdr:rowOff>103953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DC3AF79-00D9-40A5-110F-5A3943B528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979" t="6033" r="15323" b="7348"/>
        <a:stretch>
          <a:fillRect/>
        </a:stretch>
      </xdr:blipFill>
      <xdr:spPr>
        <a:xfrm>
          <a:off x="4706471" y="2017059"/>
          <a:ext cx="6723529" cy="134165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85</xdr:col>
      <xdr:colOff>0</xdr:colOff>
      <xdr:row>65</xdr:row>
      <xdr:rowOff>0</xdr:rowOff>
    </xdr:from>
    <xdr:to>
      <xdr:col>90</xdr:col>
      <xdr:colOff>6925</xdr:colOff>
      <xdr:row>72</xdr:row>
      <xdr:rowOff>1</xdr:rowOff>
    </xdr:to>
    <xdr:grpSp>
      <xdr:nvGrpSpPr>
        <xdr:cNvPr id="332" name="그룹 331">
          <a:extLst>
            <a:ext uri="{FF2B5EF4-FFF2-40B4-BE49-F238E27FC236}">
              <a16:creationId xmlns:a16="http://schemas.microsoft.com/office/drawing/2014/main" id="{79F7034D-6762-4165-A4A2-1579CF7FE6CC}"/>
            </a:ext>
          </a:extLst>
        </xdr:cNvPr>
        <xdr:cNvGrpSpPr/>
      </xdr:nvGrpSpPr>
      <xdr:grpSpPr>
        <a:xfrm>
          <a:off x="57409773" y="14633864"/>
          <a:ext cx="3383970" cy="1575955"/>
          <a:chOff x="13095584" y="6887989"/>
          <a:chExt cx="3359401" cy="1550542"/>
        </a:xfrm>
      </xdr:grpSpPr>
      <xdr:sp macro="" textlink="">
        <xdr:nvSpPr>
          <xdr:cNvPr id="333" name="타원 332">
            <a:extLst>
              <a:ext uri="{FF2B5EF4-FFF2-40B4-BE49-F238E27FC236}">
                <a16:creationId xmlns:a16="http://schemas.microsoft.com/office/drawing/2014/main" id="{A33B1BD8-B586-4835-7D80-512F1D1ED2E0}"/>
              </a:ext>
            </a:extLst>
          </xdr:cNvPr>
          <xdr:cNvSpPr/>
        </xdr:nvSpPr>
        <xdr:spPr>
          <a:xfrm>
            <a:off x="15320008" y="7970999"/>
            <a:ext cx="463103" cy="444285"/>
          </a:xfrm>
          <a:prstGeom prst="ellipse">
            <a:avLst/>
          </a:prstGeom>
          <a:solidFill>
            <a:schemeClr val="bg1">
              <a:lumMod val="85000"/>
            </a:schemeClr>
          </a:solidFill>
          <a:ln w="762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34" name="타원 333">
            <a:extLst>
              <a:ext uri="{FF2B5EF4-FFF2-40B4-BE49-F238E27FC236}">
                <a16:creationId xmlns:a16="http://schemas.microsoft.com/office/drawing/2014/main" id="{D7BE7690-4288-99A5-D807-EC1819A12325}"/>
              </a:ext>
            </a:extLst>
          </xdr:cNvPr>
          <xdr:cNvSpPr/>
        </xdr:nvSpPr>
        <xdr:spPr>
          <a:xfrm>
            <a:off x="13768333" y="7994246"/>
            <a:ext cx="463103" cy="444285"/>
          </a:xfrm>
          <a:prstGeom prst="ellipse">
            <a:avLst/>
          </a:prstGeom>
          <a:solidFill>
            <a:schemeClr val="bg1">
              <a:lumMod val="85000"/>
            </a:schemeClr>
          </a:solidFill>
          <a:ln w="762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335" name="그룹 334">
            <a:extLst>
              <a:ext uri="{FF2B5EF4-FFF2-40B4-BE49-F238E27FC236}">
                <a16:creationId xmlns:a16="http://schemas.microsoft.com/office/drawing/2014/main" id="{5D4A3514-8FEA-8153-6E17-F1E12E8A9605}"/>
              </a:ext>
            </a:extLst>
          </xdr:cNvPr>
          <xdr:cNvGrpSpPr/>
        </xdr:nvGrpSpPr>
        <xdr:grpSpPr>
          <a:xfrm>
            <a:off x="13095584" y="6887989"/>
            <a:ext cx="3359401" cy="1340917"/>
            <a:chOff x="10386713" y="5540991"/>
            <a:chExt cx="3349594" cy="1334124"/>
          </a:xfrm>
        </xdr:grpSpPr>
        <xdr:sp macro="" textlink="">
          <xdr:nvSpPr>
            <xdr:cNvPr id="337" name="직사각형 336">
              <a:extLst>
                <a:ext uri="{FF2B5EF4-FFF2-40B4-BE49-F238E27FC236}">
                  <a16:creationId xmlns:a16="http://schemas.microsoft.com/office/drawing/2014/main" id="{E3CAF895-D32F-63E5-2F7C-B73ED5C0F0BC}"/>
                </a:ext>
              </a:extLst>
            </xdr:cNvPr>
            <xdr:cNvSpPr/>
          </xdr:nvSpPr>
          <xdr:spPr>
            <a:xfrm>
              <a:off x="11056632" y="6425391"/>
              <a:ext cx="2010335" cy="236891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336" name="그룹 335">
              <a:extLst>
                <a:ext uri="{FF2B5EF4-FFF2-40B4-BE49-F238E27FC236}">
                  <a16:creationId xmlns:a16="http://schemas.microsoft.com/office/drawing/2014/main" id="{40BD2AC4-170B-9D93-8927-B0F684DFB611}"/>
                </a:ext>
              </a:extLst>
            </xdr:cNvPr>
            <xdr:cNvGrpSpPr/>
          </xdr:nvGrpSpPr>
          <xdr:grpSpPr>
            <a:xfrm>
              <a:off x="10386713" y="5540991"/>
              <a:ext cx="3349594" cy="1334124"/>
              <a:chOff x="10373140" y="5469083"/>
              <a:chExt cx="3342858" cy="1313764"/>
            </a:xfrm>
          </xdr:grpSpPr>
          <xdr:sp macro="" textlink="">
            <xdr:nvSpPr>
              <xdr:cNvPr id="338" name="직사각형 337">
                <a:extLst>
                  <a:ext uri="{FF2B5EF4-FFF2-40B4-BE49-F238E27FC236}">
                    <a16:creationId xmlns:a16="http://schemas.microsoft.com/office/drawing/2014/main" id="{B8C069D5-C89A-3D03-832F-C977DB573C03}"/>
                  </a:ext>
                </a:extLst>
              </xdr:cNvPr>
              <xdr:cNvSpPr/>
            </xdr:nvSpPr>
            <xdr:spPr>
              <a:xfrm>
                <a:off x="10373140" y="5471904"/>
                <a:ext cx="668571" cy="1310943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339" name="직사각형 338">
                <a:extLst>
                  <a:ext uri="{FF2B5EF4-FFF2-40B4-BE49-F238E27FC236}">
                    <a16:creationId xmlns:a16="http://schemas.microsoft.com/office/drawing/2014/main" id="{92C3815E-32A4-91D2-7325-439C007957A6}"/>
                  </a:ext>
                </a:extLst>
              </xdr:cNvPr>
              <xdr:cNvSpPr/>
            </xdr:nvSpPr>
            <xdr:spPr>
              <a:xfrm>
                <a:off x="11042568" y="6557005"/>
                <a:ext cx="2004859" cy="218661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340" name="직사각형 339">
                <a:extLst>
                  <a:ext uri="{FF2B5EF4-FFF2-40B4-BE49-F238E27FC236}">
                    <a16:creationId xmlns:a16="http://schemas.microsoft.com/office/drawing/2014/main" id="{2ED96AE7-A1D6-6D1B-9E4F-F70AC669797E}"/>
                  </a:ext>
                </a:extLst>
              </xdr:cNvPr>
              <xdr:cNvSpPr/>
            </xdr:nvSpPr>
            <xdr:spPr>
              <a:xfrm>
                <a:off x="13047425" y="5469083"/>
                <a:ext cx="668573" cy="1310943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</xdr:grpSp>
    <xdr:clientData/>
  </xdr:twoCellAnchor>
  <xdr:twoCellAnchor>
    <xdr:from>
      <xdr:col>33</xdr:col>
      <xdr:colOff>0</xdr:colOff>
      <xdr:row>7</xdr:row>
      <xdr:rowOff>218660</xdr:rowOff>
    </xdr:from>
    <xdr:to>
      <xdr:col>34</xdr:col>
      <xdr:colOff>0</xdr:colOff>
      <xdr:row>35</xdr:row>
      <xdr:rowOff>0</xdr:rowOff>
    </xdr:to>
    <xdr:sp macro="" textlink="">
      <xdr:nvSpPr>
        <xdr:cNvPr id="154" name="사각형: 둥근 모서리 153">
          <a:extLst>
            <a:ext uri="{FF2B5EF4-FFF2-40B4-BE49-F238E27FC236}">
              <a16:creationId xmlns:a16="http://schemas.microsoft.com/office/drawing/2014/main" id="{F673829A-B2B0-434A-AB84-CE6645A57DC3}"/>
            </a:ext>
          </a:extLst>
        </xdr:cNvPr>
        <xdr:cNvSpPr/>
      </xdr:nvSpPr>
      <xdr:spPr>
        <a:xfrm>
          <a:off x="21945600" y="1770369"/>
          <a:ext cx="665018" cy="5988176"/>
        </a:xfrm>
        <a:prstGeom prst="roundRect">
          <a:avLst/>
        </a:prstGeom>
        <a:noFill/>
        <a:ln w="165100"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0</xdr:colOff>
      <xdr:row>27</xdr:row>
      <xdr:rowOff>0</xdr:rowOff>
    </xdr:from>
    <xdr:to>
      <xdr:col>41</xdr:col>
      <xdr:colOff>6926</xdr:colOff>
      <xdr:row>34</xdr:row>
      <xdr:rowOff>1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B2D0B78D-EE0A-4E51-AFCE-B85C330016F7}"/>
            </a:ext>
          </a:extLst>
        </xdr:cNvPr>
        <xdr:cNvGrpSpPr/>
      </xdr:nvGrpSpPr>
      <xdr:grpSpPr>
        <a:xfrm>
          <a:off x="24314727" y="6078682"/>
          <a:ext cx="3383972" cy="1575955"/>
          <a:chOff x="13095584" y="6887989"/>
          <a:chExt cx="3359401" cy="1550542"/>
        </a:xfrm>
      </xdr:grpSpPr>
      <xdr:sp macro="" textlink="">
        <xdr:nvSpPr>
          <xdr:cNvPr id="30" name="타원 29">
            <a:extLst>
              <a:ext uri="{FF2B5EF4-FFF2-40B4-BE49-F238E27FC236}">
                <a16:creationId xmlns:a16="http://schemas.microsoft.com/office/drawing/2014/main" id="{C6B675E6-4902-CA59-8424-802D83847147}"/>
              </a:ext>
            </a:extLst>
          </xdr:cNvPr>
          <xdr:cNvSpPr/>
        </xdr:nvSpPr>
        <xdr:spPr>
          <a:xfrm>
            <a:off x="15320008" y="7970999"/>
            <a:ext cx="463103" cy="444285"/>
          </a:xfrm>
          <a:prstGeom prst="ellipse">
            <a:avLst/>
          </a:prstGeom>
          <a:solidFill>
            <a:schemeClr val="bg1">
              <a:lumMod val="85000"/>
            </a:schemeClr>
          </a:solidFill>
          <a:ln w="762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1" name="타원 30">
            <a:extLst>
              <a:ext uri="{FF2B5EF4-FFF2-40B4-BE49-F238E27FC236}">
                <a16:creationId xmlns:a16="http://schemas.microsoft.com/office/drawing/2014/main" id="{0B3251EB-0E79-E8CA-CF88-B21EFC17C0DC}"/>
              </a:ext>
            </a:extLst>
          </xdr:cNvPr>
          <xdr:cNvSpPr/>
        </xdr:nvSpPr>
        <xdr:spPr>
          <a:xfrm>
            <a:off x="13768333" y="7994246"/>
            <a:ext cx="463103" cy="444285"/>
          </a:xfrm>
          <a:prstGeom prst="ellipse">
            <a:avLst/>
          </a:prstGeom>
          <a:solidFill>
            <a:schemeClr val="bg1">
              <a:lumMod val="85000"/>
            </a:schemeClr>
          </a:solidFill>
          <a:ln w="762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32" name="그룹 31">
            <a:extLst>
              <a:ext uri="{FF2B5EF4-FFF2-40B4-BE49-F238E27FC236}">
                <a16:creationId xmlns:a16="http://schemas.microsoft.com/office/drawing/2014/main" id="{94A15AC7-1FE6-55E0-2996-FE9C442CB96F}"/>
              </a:ext>
            </a:extLst>
          </xdr:cNvPr>
          <xdr:cNvGrpSpPr/>
        </xdr:nvGrpSpPr>
        <xdr:grpSpPr>
          <a:xfrm>
            <a:off x="13095584" y="6887989"/>
            <a:ext cx="3359401" cy="1340917"/>
            <a:chOff x="10386713" y="5540991"/>
            <a:chExt cx="3349594" cy="1334124"/>
          </a:xfrm>
        </xdr:grpSpPr>
        <xdr:grpSp>
          <xdr:nvGrpSpPr>
            <xdr:cNvPr id="33" name="그룹 32">
              <a:extLst>
                <a:ext uri="{FF2B5EF4-FFF2-40B4-BE49-F238E27FC236}">
                  <a16:creationId xmlns:a16="http://schemas.microsoft.com/office/drawing/2014/main" id="{3DA5B174-EF27-4536-BC3B-AB2AAF1D80D2}"/>
                </a:ext>
              </a:extLst>
            </xdr:cNvPr>
            <xdr:cNvGrpSpPr/>
          </xdr:nvGrpSpPr>
          <xdr:grpSpPr>
            <a:xfrm>
              <a:off x="10386713" y="5540991"/>
              <a:ext cx="3349594" cy="1334124"/>
              <a:chOff x="10373140" y="5469083"/>
              <a:chExt cx="3342858" cy="1313764"/>
            </a:xfrm>
          </xdr:grpSpPr>
          <xdr:sp macro="" textlink="">
            <xdr:nvSpPr>
              <xdr:cNvPr id="35" name="직사각형 34">
                <a:extLst>
                  <a:ext uri="{FF2B5EF4-FFF2-40B4-BE49-F238E27FC236}">
                    <a16:creationId xmlns:a16="http://schemas.microsoft.com/office/drawing/2014/main" id="{62038EFC-2696-F77F-1965-F5C97A03173E}"/>
                  </a:ext>
                </a:extLst>
              </xdr:cNvPr>
              <xdr:cNvSpPr/>
            </xdr:nvSpPr>
            <xdr:spPr>
              <a:xfrm>
                <a:off x="10373140" y="5471904"/>
                <a:ext cx="668571" cy="1310943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36" name="직사각형 35">
                <a:extLst>
                  <a:ext uri="{FF2B5EF4-FFF2-40B4-BE49-F238E27FC236}">
                    <a16:creationId xmlns:a16="http://schemas.microsoft.com/office/drawing/2014/main" id="{F2F7023A-C0AF-2EF0-F2ED-0FA52ABC6843}"/>
                  </a:ext>
                </a:extLst>
              </xdr:cNvPr>
              <xdr:cNvSpPr/>
            </xdr:nvSpPr>
            <xdr:spPr>
              <a:xfrm>
                <a:off x="11042568" y="6557005"/>
                <a:ext cx="2004859" cy="218661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37" name="직사각형 36">
                <a:extLst>
                  <a:ext uri="{FF2B5EF4-FFF2-40B4-BE49-F238E27FC236}">
                    <a16:creationId xmlns:a16="http://schemas.microsoft.com/office/drawing/2014/main" id="{42EE548F-948A-81DD-B662-7A2DECE41B56}"/>
                  </a:ext>
                </a:extLst>
              </xdr:cNvPr>
              <xdr:cNvSpPr/>
            </xdr:nvSpPr>
            <xdr:spPr>
              <a:xfrm>
                <a:off x="13047425" y="5469083"/>
                <a:ext cx="668573" cy="1310943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  <xdr:sp macro="" textlink="">
          <xdr:nvSpPr>
            <xdr:cNvPr id="34" name="직사각형 33">
              <a:extLst>
                <a:ext uri="{FF2B5EF4-FFF2-40B4-BE49-F238E27FC236}">
                  <a16:creationId xmlns:a16="http://schemas.microsoft.com/office/drawing/2014/main" id="{E24D34DC-C0A1-CD35-E5C5-F4611CAABFF9}"/>
                </a:ext>
              </a:extLst>
            </xdr:cNvPr>
            <xdr:cNvSpPr/>
          </xdr:nvSpPr>
          <xdr:spPr>
            <a:xfrm>
              <a:off x="11056632" y="6425391"/>
              <a:ext cx="2010335" cy="236891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2</xdr:col>
      <xdr:colOff>-1</xdr:colOff>
      <xdr:row>7</xdr:row>
      <xdr:rowOff>174170</xdr:rowOff>
    </xdr:from>
    <xdr:to>
      <xdr:col>5</xdr:col>
      <xdr:colOff>0</xdr:colOff>
      <xdr:row>11</xdr:row>
      <xdr:rowOff>174171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DDDB7946-1B0E-4EDC-B7DF-FE6168C64E37}"/>
            </a:ext>
          </a:extLst>
        </xdr:cNvPr>
        <xdr:cNvSpPr/>
      </xdr:nvSpPr>
      <xdr:spPr>
        <a:xfrm>
          <a:off x="1349828" y="1698170"/>
          <a:ext cx="2024743" cy="870858"/>
        </a:xfrm>
        <a:prstGeom prst="roundRect">
          <a:avLst/>
        </a:prstGeom>
        <a:ln w="57150">
          <a:solidFill>
            <a:schemeClr val="tx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2102</xdr:colOff>
      <xdr:row>21</xdr:row>
      <xdr:rowOff>0</xdr:rowOff>
    </xdr:from>
    <xdr:to>
      <xdr:col>5</xdr:col>
      <xdr:colOff>0</xdr:colOff>
      <xdr:row>21</xdr:row>
      <xdr:rowOff>220717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EAC4BA40-EFF7-4FC8-9308-F813A2BD2F96}"/>
            </a:ext>
          </a:extLst>
        </xdr:cNvPr>
        <xdr:cNvSpPr/>
      </xdr:nvSpPr>
      <xdr:spPr>
        <a:xfrm>
          <a:off x="672662" y="4640580"/>
          <a:ext cx="2680138" cy="220717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0</xdr:colOff>
      <xdr:row>25</xdr:row>
      <xdr:rowOff>216639</xdr:rowOff>
    </xdr:from>
    <xdr:to>
      <xdr:col>41</xdr:col>
      <xdr:colOff>0</xdr:colOff>
      <xdr:row>35</xdr:row>
      <xdr:rowOff>0</xdr:rowOff>
    </xdr:to>
    <xdr:grpSp>
      <xdr:nvGrpSpPr>
        <xdr:cNvPr id="135" name="그룹 134">
          <a:extLst>
            <a:ext uri="{FF2B5EF4-FFF2-40B4-BE49-F238E27FC236}">
              <a16:creationId xmlns:a16="http://schemas.microsoft.com/office/drawing/2014/main" id="{E4EA92B8-A326-6D8F-C199-EAAE17BA4A09}"/>
            </a:ext>
          </a:extLst>
        </xdr:cNvPr>
        <xdr:cNvGrpSpPr/>
      </xdr:nvGrpSpPr>
      <xdr:grpSpPr>
        <a:xfrm>
          <a:off x="24314727" y="5845048"/>
          <a:ext cx="3377046" cy="2034725"/>
          <a:chOff x="19378246" y="7789747"/>
          <a:chExt cx="3341077" cy="2010745"/>
        </a:xfrm>
      </xdr:grpSpPr>
      <xdr:sp macro="" textlink="">
        <xdr:nvSpPr>
          <xdr:cNvPr id="123" name="직사각형 122">
            <a:extLst>
              <a:ext uri="{FF2B5EF4-FFF2-40B4-BE49-F238E27FC236}">
                <a16:creationId xmlns:a16="http://schemas.microsoft.com/office/drawing/2014/main" id="{E2EB8407-C97B-EF48-DA13-F6906DA548BD}"/>
              </a:ext>
            </a:extLst>
          </xdr:cNvPr>
          <xdr:cNvSpPr/>
        </xdr:nvSpPr>
        <xdr:spPr>
          <a:xfrm>
            <a:off x="19378247" y="9577755"/>
            <a:ext cx="3341076" cy="222737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8" name="직사각형 47">
            <a:extLst>
              <a:ext uri="{FF2B5EF4-FFF2-40B4-BE49-F238E27FC236}">
                <a16:creationId xmlns:a16="http://schemas.microsoft.com/office/drawing/2014/main" id="{9877477D-A53B-9926-B46A-9DAD70F77C9B}"/>
              </a:ext>
            </a:extLst>
          </xdr:cNvPr>
          <xdr:cNvSpPr/>
        </xdr:nvSpPr>
        <xdr:spPr>
          <a:xfrm>
            <a:off x="19378246" y="7793789"/>
            <a:ext cx="334287" cy="2006703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BACC207C-F63D-4833-AFC3-0E787905A8FE}"/>
              </a:ext>
            </a:extLst>
          </xdr:cNvPr>
          <xdr:cNvSpPr/>
        </xdr:nvSpPr>
        <xdr:spPr>
          <a:xfrm>
            <a:off x="22383886" y="7789747"/>
            <a:ext cx="335437" cy="2010745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16</xdr:col>
      <xdr:colOff>1</xdr:colOff>
      <xdr:row>7</xdr:row>
      <xdr:rowOff>0</xdr:rowOff>
    </xdr:from>
    <xdr:to>
      <xdr:col>21</xdr:col>
      <xdr:colOff>1</xdr:colOff>
      <xdr:row>35</xdr:row>
      <xdr:rowOff>0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C2009E0C-F1DF-C817-FF87-6AA18CE5F006}"/>
            </a:ext>
          </a:extLst>
        </xdr:cNvPr>
        <xdr:cNvGrpSpPr/>
      </xdr:nvGrpSpPr>
      <xdr:grpSpPr>
        <a:xfrm>
          <a:off x="10806546" y="1575955"/>
          <a:ext cx="3377046" cy="6303818"/>
          <a:chOff x="5739718" y="3483429"/>
          <a:chExt cx="3369007" cy="6096000"/>
        </a:xfrm>
      </xdr:grpSpPr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5B0E22D1-B725-B59F-AAF1-67B2F4AC7998}"/>
              </a:ext>
            </a:extLst>
          </xdr:cNvPr>
          <xdr:cNvSpPr/>
        </xdr:nvSpPr>
        <xdr:spPr>
          <a:xfrm>
            <a:off x="6072049" y="9355963"/>
            <a:ext cx="2694434" cy="223466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5077BD13-50C0-0DCB-6208-38E88BA26079}"/>
              </a:ext>
            </a:extLst>
          </xdr:cNvPr>
          <xdr:cNvSpPr/>
        </xdr:nvSpPr>
        <xdr:spPr>
          <a:xfrm>
            <a:off x="6074447" y="7403368"/>
            <a:ext cx="2694434" cy="220303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85C312DE-0C45-5281-CD34-A8E39504A5B0}"/>
              </a:ext>
            </a:extLst>
          </xdr:cNvPr>
          <xdr:cNvSpPr/>
        </xdr:nvSpPr>
        <xdr:spPr>
          <a:xfrm>
            <a:off x="6075313" y="5442857"/>
            <a:ext cx="2696398" cy="223465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" name="직사각형 91">
            <a:extLst>
              <a:ext uri="{FF2B5EF4-FFF2-40B4-BE49-F238E27FC236}">
                <a16:creationId xmlns:a16="http://schemas.microsoft.com/office/drawing/2014/main" id="{8CE0AEC2-DA9A-2A2B-F5B7-4DE4EF066475}"/>
              </a:ext>
            </a:extLst>
          </xdr:cNvPr>
          <xdr:cNvSpPr/>
        </xdr:nvSpPr>
        <xdr:spPr>
          <a:xfrm>
            <a:off x="6074229" y="3483429"/>
            <a:ext cx="2699657" cy="221779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8" name="직사각형 97">
            <a:extLst>
              <a:ext uri="{FF2B5EF4-FFF2-40B4-BE49-F238E27FC236}">
                <a16:creationId xmlns:a16="http://schemas.microsoft.com/office/drawing/2014/main" id="{F5962710-C523-59C3-D91C-DE65A03904FD}"/>
              </a:ext>
            </a:extLst>
          </xdr:cNvPr>
          <xdr:cNvSpPr/>
        </xdr:nvSpPr>
        <xdr:spPr>
          <a:xfrm>
            <a:off x="8773886" y="3483429"/>
            <a:ext cx="334839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9" name="직사각형 98">
            <a:extLst>
              <a:ext uri="{FF2B5EF4-FFF2-40B4-BE49-F238E27FC236}">
                <a16:creationId xmlns:a16="http://schemas.microsoft.com/office/drawing/2014/main" id="{56858D54-0FEB-4E3B-A83B-DBEBDAF31C90}"/>
              </a:ext>
            </a:extLst>
          </xdr:cNvPr>
          <xdr:cNvSpPr/>
        </xdr:nvSpPr>
        <xdr:spPr>
          <a:xfrm>
            <a:off x="5739718" y="3483429"/>
            <a:ext cx="339194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21</xdr:col>
      <xdr:colOff>0</xdr:colOff>
      <xdr:row>7</xdr:row>
      <xdr:rowOff>0</xdr:rowOff>
    </xdr:from>
    <xdr:to>
      <xdr:col>26</xdr:col>
      <xdr:colOff>4659</xdr:colOff>
      <xdr:row>35</xdr:row>
      <xdr:rowOff>0</xdr:rowOff>
    </xdr:to>
    <xdr:grpSp>
      <xdr:nvGrpSpPr>
        <xdr:cNvPr id="102" name="그룹 101">
          <a:extLst>
            <a:ext uri="{FF2B5EF4-FFF2-40B4-BE49-F238E27FC236}">
              <a16:creationId xmlns:a16="http://schemas.microsoft.com/office/drawing/2014/main" id="{8B591425-FEE8-422D-62EF-BBC3A8378591}"/>
            </a:ext>
          </a:extLst>
        </xdr:cNvPr>
        <xdr:cNvGrpSpPr/>
      </xdr:nvGrpSpPr>
      <xdr:grpSpPr>
        <a:xfrm>
          <a:off x="14183591" y="1575955"/>
          <a:ext cx="3381704" cy="6303818"/>
          <a:chOff x="5735035" y="3483429"/>
          <a:chExt cx="3373690" cy="6096000"/>
        </a:xfrm>
      </xdr:grpSpPr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932C2C27-C807-649E-F9E3-D5ABA6D4F629}"/>
              </a:ext>
            </a:extLst>
          </xdr:cNvPr>
          <xdr:cNvSpPr/>
        </xdr:nvSpPr>
        <xdr:spPr>
          <a:xfrm>
            <a:off x="6072049" y="9355963"/>
            <a:ext cx="2694434" cy="223466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4" name="직사각형 103">
            <a:extLst>
              <a:ext uri="{FF2B5EF4-FFF2-40B4-BE49-F238E27FC236}">
                <a16:creationId xmlns:a16="http://schemas.microsoft.com/office/drawing/2014/main" id="{5937DDB0-C6CB-9124-A104-86993DEB2FD0}"/>
              </a:ext>
            </a:extLst>
          </xdr:cNvPr>
          <xdr:cNvSpPr/>
        </xdr:nvSpPr>
        <xdr:spPr>
          <a:xfrm>
            <a:off x="6074447" y="7403368"/>
            <a:ext cx="2694434" cy="220303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" name="직사각형 104">
            <a:extLst>
              <a:ext uri="{FF2B5EF4-FFF2-40B4-BE49-F238E27FC236}">
                <a16:creationId xmlns:a16="http://schemas.microsoft.com/office/drawing/2014/main" id="{5723C2B9-92FF-8606-7168-510AD971A45A}"/>
              </a:ext>
            </a:extLst>
          </xdr:cNvPr>
          <xdr:cNvSpPr/>
        </xdr:nvSpPr>
        <xdr:spPr>
          <a:xfrm>
            <a:off x="6075313" y="5442857"/>
            <a:ext cx="2696398" cy="223465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CE1396E-49FC-3FF0-F2D7-8D4ACCB83BA6}"/>
              </a:ext>
            </a:extLst>
          </xdr:cNvPr>
          <xdr:cNvSpPr/>
        </xdr:nvSpPr>
        <xdr:spPr>
          <a:xfrm>
            <a:off x="6074229" y="3483429"/>
            <a:ext cx="2699657" cy="221779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7" name="직사각형 106">
            <a:extLst>
              <a:ext uri="{FF2B5EF4-FFF2-40B4-BE49-F238E27FC236}">
                <a16:creationId xmlns:a16="http://schemas.microsoft.com/office/drawing/2014/main" id="{B78419BD-D560-FD19-A58A-5EDED8E5E262}"/>
              </a:ext>
            </a:extLst>
          </xdr:cNvPr>
          <xdr:cNvSpPr/>
        </xdr:nvSpPr>
        <xdr:spPr>
          <a:xfrm>
            <a:off x="8773886" y="3483429"/>
            <a:ext cx="334839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8" name="직사각형 107">
            <a:extLst>
              <a:ext uri="{FF2B5EF4-FFF2-40B4-BE49-F238E27FC236}">
                <a16:creationId xmlns:a16="http://schemas.microsoft.com/office/drawing/2014/main" id="{76C464D1-1DDB-E948-9046-AB6FEC5F01ED}"/>
              </a:ext>
            </a:extLst>
          </xdr:cNvPr>
          <xdr:cNvSpPr/>
        </xdr:nvSpPr>
        <xdr:spPr>
          <a:xfrm>
            <a:off x="5735035" y="3483429"/>
            <a:ext cx="339194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25</xdr:col>
      <xdr:colOff>662940</xdr:colOff>
      <xdr:row>7</xdr:row>
      <xdr:rowOff>0</xdr:rowOff>
    </xdr:from>
    <xdr:to>
      <xdr:col>30</xdr:col>
      <xdr:colOff>662058</xdr:colOff>
      <xdr:row>35</xdr:row>
      <xdr:rowOff>0</xdr:rowOff>
    </xdr:to>
    <xdr:grpSp>
      <xdr:nvGrpSpPr>
        <xdr:cNvPr id="109" name="그룹 108">
          <a:extLst>
            <a:ext uri="{FF2B5EF4-FFF2-40B4-BE49-F238E27FC236}">
              <a16:creationId xmlns:a16="http://schemas.microsoft.com/office/drawing/2014/main" id="{5CC3B65D-7098-FF32-D8D0-CD3919BE56FF}"/>
            </a:ext>
          </a:extLst>
        </xdr:cNvPr>
        <xdr:cNvGrpSpPr/>
      </xdr:nvGrpSpPr>
      <xdr:grpSpPr>
        <a:xfrm>
          <a:off x="17548167" y="1575955"/>
          <a:ext cx="3376164" cy="6303818"/>
          <a:chOff x="5735035" y="3483429"/>
          <a:chExt cx="3373690" cy="6096000"/>
        </a:xfrm>
      </xdr:grpSpPr>
      <xdr:sp macro="" textlink="">
        <xdr:nvSpPr>
          <xdr:cNvPr id="110" name="직사각형 109">
            <a:extLst>
              <a:ext uri="{FF2B5EF4-FFF2-40B4-BE49-F238E27FC236}">
                <a16:creationId xmlns:a16="http://schemas.microsoft.com/office/drawing/2014/main" id="{9A4227B3-8597-E44D-6CDC-23A1E793DD8F}"/>
              </a:ext>
            </a:extLst>
          </xdr:cNvPr>
          <xdr:cNvSpPr/>
        </xdr:nvSpPr>
        <xdr:spPr>
          <a:xfrm>
            <a:off x="6072049" y="9355963"/>
            <a:ext cx="2694434" cy="223466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1" name="직사각형 110">
            <a:extLst>
              <a:ext uri="{FF2B5EF4-FFF2-40B4-BE49-F238E27FC236}">
                <a16:creationId xmlns:a16="http://schemas.microsoft.com/office/drawing/2014/main" id="{7B98A46D-3818-AF4B-2504-EF0F3E9AB339}"/>
              </a:ext>
            </a:extLst>
          </xdr:cNvPr>
          <xdr:cNvSpPr/>
        </xdr:nvSpPr>
        <xdr:spPr>
          <a:xfrm>
            <a:off x="6074447" y="7403368"/>
            <a:ext cx="2694434" cy="220303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7E93E672-69B6-3641-BC81-A36891C46371}"/>
              </a:ext>
            </a:extLst>
          </xdr:cNvPr>
          <xdr:cNvSpPr/>
        </xdr:nvSpPr>
        <xdr:spPr>
          <a:xfrm>
            <a:off x="6075313" y="5442857"/>
            <a:ext cx="2696398" cy="223465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3" name="직사각형 112">
            <a:extLst>
              <a:ext uri="{FF2B5EF4-FFF2-40B4-BE49-F238E27FC236}">
                <a16:creationId xmlns:a16="http://schemas.microsoft.com/office/drawing/2014/main" id="{83888E6A-F2DC-6BE3-099C-72D8D153D094}"/>
              </a:ext>
            </a:extLst>
          </xdr:cNvPr>
          <xdr:cNvSpPr/>
        </xdr:nvSpPr>
        <xdr:spPr>
          <a:xfrm>
            <a:off x="6074229" y="3483429"/>
            <a:ext cx="2699657" cy="221779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4" name="직사각형 113">
            <a:extLst>
              <a:ext uri="{FF2B5EF4-FFF2-40B4-BE49-F238E27FC236}">
                <a16:creationId xmlns:a16="http://schemas.microsoft.com/office/drawing/2014/main" id="{CBE41367-D647-7448-8A52-28F54349090A}"/>
              </a:ext>
            </a:extLst>
          </xdr:cNvPr>
          <xdr:cNvSpPr/>
        </xdr:nvSpPr>
        <xdr:spPr>
          <a:xfrm>
            <a:off x="8773886" y="3483429"/>
            <a:ext cx="334839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8D772949-531F-4AF9-2A08-AFF75F19B3BC}"/>
              </a:ext>
            </a:extLst>
          </xdr:cNvPr>
          <xdr:cNvSpPr/>
        </xdr:nvSpPr>
        <xdr:spPr>
          <a:xfrm>
            <a:off x="5735035" y="3483429"/>
            <a:ext cx="339194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31</xdr:col>
      <xdr:colOff>882</xdr:colOff>
      <xdr:row>7</xdr:row>
      <xdr:rowOff>0</xdr:rowOff>
    </xdr:from>
    <xdr:to>
      <xdr:col>36</xdr:col>
      <xdr:colOff>0</xdr:colOff>
      <xdr:row>35</xdr:row>
      <xdr:rowOff>0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2D86430F-AF21-2169-3744-C78A2C8D1392}"/>
            </a:ext>
          </a:extLst>
        </xdr:cNvPr>
        <xdr:cNvGrpSpPr/>
      </xdr:nvGrpSpPr>
      <xdr:grpSpPr>
        <a:xfrm>
          <a:off x="20938564" y="1575955"/>
          <a:ext cx="3376163" cy="6303818"/>
          <a:chOff x="5735035" y="3483429"/>
          <a:chExt cx="3373690" cy="6096000"/>
        </a:xfrm>
      </xdr:grpSpPr>
      <xdr:sp macro="" textlink="">
        <xdr:nvSpPr>
          <xdr:cNvPr id="117" name="직사각형 116">
            <a:extLst>
              <a:ext uri="{FF2B5EF4-FFF2-40B4-BE49-F238E27FC236}">
                <a16:creationId xmlns:a16="http://schemas.microsoft.com/office/drawing/2014/main" id="{110ED0EB-423C-2BAA-D78D-F6591DCF27F1}"/>
              </a:ext>
            </a:extLst>
          </xdr:cNvPr>
          <xdr:cNvSpPr/>
        </xdr:nvSpPr>
        <xdr:spPr>
          <a:xfrm>
            <a:off x="6072049" y="9355963"/>
            <a:ext cx="2694434" cy="223466"/>
          </a:xfrm>
          <a:prstGeom prst="rect">
            <a:avLst/>
          </a:prstGeom>
          <a:ln w="57150"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0" name="직사각형 119">
            <a:extLst>
              <a:ext uri="{FF2B5EF4-FFF2-40B4-BE49-F238E27FC236}">
                <a16:creationId xmlns:a16="http://schemas.microsoft.com/office/drawing/2014/main" id="{5EB0C288-39E0-7BF1-090A-14AEF7AA439A}"/>
              </a:ext>
            </a:extLst>
          </xdr:cNvPr>
          <xdr:cNvSpPr/>
        </xdr:nvSpPr>
        <xdr:spPr>
          <a:xfrm>
            <a:off x="6074229" y="3483429"/>
            <a:ext cx="2699657" cy="221779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1" name="직사각형 120">
            <a:extLst>
              <a:ext uri="{FF2B5EF4-FFF2-40B4-BE49-F238E27FC236}">
                <a16:creationId xmlns:a16="http://schemas.microsoft.com/office/drawing/2014/main" id="{7A75F8DB-BFE4-6C5C-6D11-14DB4D15DA07}"/>
              </a:ext>
            </a:extLst>
          </xdr:cNvPr>
          <xdr:cNvSpPr/>
        </xdr:nvSpPr>
        <xdr:spPr>
          <a:xfrm>
            <a:off x="8773886" y="3483429"/>
            <a:ext cx="334839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2" name="직사각형 121">
            <a:extLst>
              <a:ext uri="{FF2B5EF4-FFF2-40B4-BE49-F238E27FC236}">
                <a16:creationId xmlns:a16="http://schemas.microsoft.com/office/drawing/2014/main" id="{033D0B64-8891-3B72-030A-FE47D6DE187B}"/>
              </a:ext>
            </a:extLst>
          </xdr:cNvPr>
          <xdr:cNvSpPr/>
        </xdr:nvSpPr>
        <xdr:spPr>
          <a:xfrm>
            <a:off x="5735035" y="3483429"/>
            <a:ext cx="339194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</xdr:col>
      <xdr:colOff>0</xdr:colOff>
      <xdr:row>13</xdr:row>
      <xdr:rowOff>0</xdr:rowOff>
    </xdr:from>
    <xdr:to>
      <xdr:col>6</xdr:col>
      <xdr:colOff>6926</xdr:colOff>
      <xdr:row>20</xdr:row>
      <xdr:rowOff>0</xdr:rowOff>
    </xdr:to>
    <xdr:grpSp>
      <xdr:nvGrpSpPr>
        <xdr:cNvPr id="145" name="그룹 144">
          <a:extLst>
            <a:ext uri="{FF2B5EF4-FFF2-40B4-BE49-F238E27FC236}">
              <a16:creationId xmlns:a16="http://schemas.microsoft.com/office/drawing/2014/main" id="{43256A75-7473-4003-B14A-FC5032459B03}"/>
            </a:ext>
          </a:extLst>
        </xdr:cNvPr>
        <xdr:cNvGrpSpPr/>
      </xdr:nvGrpSpPr>
      <xdr:grpSpPr>
        <a:xfrm>
          <a:off x="675409" y="2926773"/>
          <a:ext cx="3383972" cy="1575954"/>
          <a:chOff x="13095584" y="6887989"/>
          <a:chExt cx="3359401" cy="1550542"/>
        </a:xfrm>
      </xdr:grpSpPr>
      <xdr:sp macro="" textlink="">
        <xdr:nvSpPr>
          <xdr:cNvPr id="146" name="타원 145">
            <a:extLst>
              <a:ext uri="{FF2B5EF4-FFF2-40B4-BE49-F238E27FC236}">
                <a16:creationId xmlns:a16="http://schemas.microsoft.com/office/drawing/2014/main" id="{79B1038A-421E-BC4B-4BEF-B0B0D0B31DE5}"/>
              </a:ext>
            </a:extLst>
          </xdr:cNvPr>
          <xdr:cNvSpPr/>
        </xdr:nvSpPr>
        <xdr:spPr>
          <a:xfrm>
            <a:off x="15320008" y="7970999"/>
            <a:ext cx="463103" cy="444285"/>
          </a:xfrm>
          <a:prstGeom prst="ellipse">
            <a:avLst/>
          </a:prstGeom>
          <a:solidFill>
            <a:schemeClr val="bg1"/>
          </a:solidFill>
          <a:ln w="762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7" name="타원 146">
            <a:extLst>
              <a:ext uri="{FF2B5EF4-FFF2-40B4-BE49-F238E27FC236}">
                <a16:creationId xmlns:a16="http://schemas.microsoft.com/office/drawing/2014/main" id="{97469EA0-39DC-88CB-2BB3-D4A3E1F64C55}"/>
              </a:ext>
            </a:extLst>
          </xdr:cNvPr>
          <xdr:cNvSpPr/>
        </xdr:nvSpPr>
        <xdr:spPr>
          <a:xfrm>
            <a:off x="13768333" y="7994246"/>
            <a:ext cx="463103" cy="444285"/>
          </a:xfrm>
          <a:prstGeom prst="ellipse">
            <a:avLst/>
          </a:prstGeom>
          <a:solidFill>
            <a:schemeClr val="bg1"/>
          </a:solidFill>
          <a:ln w="762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148" name="그룹 147">
            <a:extLst>
              <a:ext uri="{FF2B5EF4-FFF2-40B4-BE49-F238E27FC236}">
                <a16:creationId xmlns:a16="http://schemas.microsoft.com/office/drawing/2014/main" id="{07C8E0D1-BFE8-FAA4-D569-CB7763B5F2AD}"/>
              </a:ext>
            </a:extLst>
          </xdr:cNvPr>
          <xdr:cNvGrpSpPr/>
        </xdr:nvGrpSpPr>
        <xdr:grpSpPr>
          <a:xfrm>
            <a:off x="13095584" y="6887989"/>
            <a:ext cx="3359401" cy="1340917"/>
            <a:chOff x="10386713" y="5540991"/>
            <a:chExt cx="3349594" cy="1334124"/>
          </a:xfrm>
        </xdr:grpSpPr>
        <xdr:grpSp>
          <xdr:nvGrpSpPr>
            <xdr:cNvPr id="149" name="그룹 148">
              <a:extLst>
                <a:ext uri="{FF2B5EF4-FFF2-40B4-BE49-F238E27FC236}">
                  <a16:creationId xmlns:a16="http://schemas.microsoft.com/office/drawing/2014/main" id="{02F77542-0227-1E1E-B7EF-A072C6B46503}"/>
                </a:ext>
              </a:extLst>
            </xdr:cNvPr>
            <xdr:cNvGrpSpPr/>
          </xdr:nvGrpSpPr>
          <xdr:grpSpPr>
            <a:xfrm>
              <a:off x="10386713" y="5540991"/>
              <a:ext cx="3349594" cy="1334124"/>
              <a:chOff x="10373140" y="5469083"/>
              <a:chExt cx="3342858" cy="1313764"/>
            </a:xfrm>
          </xdr:grpSpPr>
          <xdr:sp macro="" textlink="">
            <xdr:nvSpPr>
              <xdr:cNvPr id="151" name="직사각형 150">
                <a:extLst>
                  <a:ext uri="{FF2B5EF4-FFF2-40B4-BE49-F238E27FC236}">
                    <a16:creationId xmlns:a16="http://schemas.microsoft.com/office/drawing/2014/main" id="{20BA777E-4D3A-2BE7-C653-55BD950EB77F}"/>
                  </a:ext>
                </a:extLst>
              </xdr:cNvPr>
              <xdr:cNvSpPr/>
            </xdr:nvSpPr>
            <xdr:spPr>
              <a:xfrm>
                <a:off x="10373140" y="5471904"/>
                <a:ext cx="668571" cy="1310943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152" name="직사각형 151">
                <a:extLst>
                  <a:ext uri="{FF2B5EF4-FFF2-40B4-BE49-F238E27FC236}">
                    <a16:creationId xmlns:a16="http://schemas.microsoft.com/office/drawing/2014/main" id="{1B69CDED-7683-C251-09C3-550CCF83C19D}"/>
                  </a:ext>
                </a:extLst>
              </xdr:cNvPr>
              <xdr:cNvSpPr/>
            </xdr:nvSpPr>
            <xdr:spPr>
              <a:xfrm>
                <a:off x="11042568" y="6557005"/>
                <a:ext cx="2004859" cy="218661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153" name="직사각형 152">
                <a:extLst>
                  <a:ext uri="{FF2B5EF4-FFF2-40B4-BE49-F238E27FC236}">
                    <a16:creationId xmlns:a16="http://schemas.microsoft.com/office/drawing/2014/main" id="{3C774C43-5D33-5C23-B752-C4D5E571303E}"/>
                  </a:ext>
                </a:extLst>
              </xdr:cNvPr>
              <xdr:cNvSpPr/>
            </xdr:nvSpPr>
            <xdr:spPr>
              <a:xfrm>
                <a:off x="13047425" y="5469083"/>
                <a:ext cx="668573" cy="1310943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  <xdr:sp macro="" textlink="">
          <xdr:nvSpPr>
            <xdr:cNvPr id="150" name="직사각형 149">
              <a:extLst>
                <a:ext uri="{FF2B5EF4-FFF2-40B4-BE49-F238E27FC236}">
                  <a16:creationId xmlns:a16="http://schemas.microsoft.com/office/drawing/2014/main" id="{97C7A15C-D4CC-77E9-2735-98D49768526F}"/>
                </a:ext>
              </a:extLst>
            </xdr:cNvPr>
            <xdr:cNvSpPr/>
          </xdr:nvSpPr>
          <xdr:spPr>
            <a:xfrm>
              <a:off x="11056632" y="6425391"/>
              <a:ext cx="2010335" cy="23689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16</xdr:col>
      <xdr:colOff>0</xdr:colOff>
      <xdr:row>35</xdr:row>
      <xdr:rowOff>0</xdr:rowOff>
    </xdr:from>
    <xdr:to>
      <xdr:col>41</xdr:col>
      <xdr:colOff>0</xdr:colOff>
      <xdr:row>35</xdr:row>
      <xdr:rowOff>224117</xdr:rowOff>
    </xdr:to>
    <xdr:sp macro="" textlink="">
      <xdr:nvSpPr>
        <xdr:cNvPr id="161" name="직사각형 160">
          <a:extLst>
            <a:ext uri="{FF2B5EF4-FFF2-40B4-BE49-F238E27FC236}">
              <a16:creationId xmlns:a16="http://schemas.microsoft.com/office/drawing/2014/main" id="{0C25FED7-649A-41F6-B861-D2192D6F27FC}"/>
            </a:ext>
          </a:extLst>
        </xdr:cNvPr>
        <xdr:cNvSpPr/>
      </xdr:nvSpPr>
      <xdr:spPr>
        <a:xfrm flipV="1">
          <a:off x="6051176" y="9861176"/>
          <a:ext cx="16808824" cy="224117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</xdr:colOff>
      <xdr:row>7</xdr:row>
      <xdr:rowOff>-1</xdr:rowOff>
    </xdr:from>
    <xdr:to>
      <xdr:col>11</xdr:col>
      <xdr:colOff>1</xdr:colOff>
      <xdr:row>36</xdr:row>
      <xdr:rowOff>0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11D60AEA-2C7F-44F2-B75C-DBEF209447E7}"/>
            </a:ext>
          </a:extLst>
        </xdr:cNvPr>
        <xdr:cNvSpPr/>
      </xdr:nvSpPr>
      <xdr:spPr>
        <a:xfrm>
          <a:off x="8740589" y="1568823"/>
          <a:ext cx="1344706" cy="6499412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87</xdr:col>
      <xdr:colOff>0</xdr:colOff>
      <xdr:row>45</xdr:row>
      <xdr:rowOff>218660</xdr:rowOff>
    </xdr:from>
    <xdr:to>
      <xdr:col>88</xdr:col>
      <xdr:colOff>0</xdr:colOff>
      <xdr:row>73</xdr:row>
      <xdr:rowOff>0</xdr:rowOff>
    </xdr:to>
    <xdr:sp macro="" textlink="">
      <xdr:nvSpPr>
        <xdr:cNvPr id="331" name="사각형: 둥근 모서리 330">
          <a:extLst>
            <a:ext uri="{FF2B5EF4-FFF2-40B4-BE49-F238E27FC236}">
              <a16:creationId xmlns:a16="http://schemas.microsoft.com/office/drawing/2014/main" id="{645B0E7D-F54F-478C-A1CB-74709D825A30}"/>
            </a:ext>
          </a:extLst>
        </xdr:cNvPr>
        <xdr:cNvSpPr/>
      </xdr:nvSpPr>
      <xdr:spPr>
        <a:xfrm>
          <a:off x="22002750" y="1818860"/>
          <a:ext cx="666750" cy="6182140"/>
        </a:xfrm>
        <a:prstGeom prst="roundRect">
          <a:avLst/>
        </a:prstGeom>
        <a:noFill/>
        <a:ln w="165100"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90</xdr:col>
      <xdr:colOff>0</xdr:colOff>
      <xdr:row>63</xdr:row>
      <xdr:rowOff>216639</xdr:rowOff>
    </xdr:from>
    <xdr:to>
      <xdr:col>95</xdr:col>
      <xdr:colOff>0</xdr:colOff>
      <xdr:row>73</xdr:row>
      <xdr:rowOff>0</xdr:rowOff>
    </xdr:to>
    <xdr:grpSp>
      <xdr:nvGrpSpPr>
        <xdr:cNvPr id="341" name="그룹 340">
          <a:extLst>
            <a:ext uri="{FF2B5EF4-FFF2-40B4-BE49-F238E27FC236}">
              <a16:creationId xmlns:a16="http://schemas.microsoft.com/office/drawing/2014/main" id="{242683D9-50CE-4EC7-BD2B-8C8D1F26FA22}"/>
            </a:ext>
          </a:extLst>
        </xdr:cNvPr>
        <xdr:cNvGrpSpPr/>
      </xdr:nvGrpSpPr>
      <xdr:grpSpPr>
        <a:xfrm>
          <a:off x="60786818" y="14400230"/>
          <a:ext cx="3377046" cy="2034725"/>
          <a:chOff x="19378246" y="7789747"/>
          <a:chExt cx="3341077" cy="2010745"/>
        </a:xfrm>
      </xdr:grpSpPr>
      <xdr:sp macro="" textlink="">
        <xdr:nvSpPr>
          <xdr:cNvPr id="342" name="직사각형 341">
            <a:extLst>
              <a:ext uri="{FF2B5EF4-FFF2-40B4-BE49-F238E27FC236}">
                <a16:creationId xmlns:a16="http://schemas.microsoft.com/office/drawing/2014/main" id="{DB484E97-EF51-AF76-DC93-B4E13C321B98}"/>
              </a:ext>
            </a:extLst>
          </xdr:cNvPr>
          <xdr:cNvSpPr/>
        </xdr:nvSpPr>
        <xdr:spPr>
          <a:xfrm>
            <a:off x="19378247" y="9577755"/>
            <a:ext cx="3341076" cy="222737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43" name="직사각형 342">
            <a:extLst>
              <a:ext uri="{FF2B5EF4-FFF2-40B4-BE49-F238E27FC236}">
                <a16:creationId xmlns:a16="http://schemas.microsoft.com/office/drawing/2014/main" id="{CB3B2932-6E8A-D9CF-C000-38A0509F4FFA}"/>
              </a:ext>
            </a:extLst>
          </xdr:cNvPr>
          <xdr:cNvSpPr/>
        </xdr:nvSpPr>
        <xdr:spPr>
          <a:xfrm>
            <a:off x="19378246" y="7793789"/>
            <a:ext cx="334287" cy="2006703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44" name="직사각형 343">
            <a:extLst>
              <a:ext uri="{FF2B5EF4-FFF2-40B4-BE49-F238E27FC236}">
                <a16:creationId xmlns:a16="http://schemas.microsoft.com/office/drawing/2014/main" id="{C0F361C1-9FCD-F5A5-71AB-1487F9E6E931}"/>
              </a:ext>
            </a:extLst>
          </xdr:cNvPr>
          <xdr:cNvSpPr/>
        </xdr:nvSpPr>
        <xdr:spPr>
          <a:xfrm>
            <a:off x="22383886" y="7789747"/>
            <a:ext cx="335437" cy="2010745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70</xdr:col>
      <xdr:colOff>1</xdr:colOff>
      <xdr:row>45</xdr:row>
      <xdr:rowOff>0</xdr:rowOff>
    </xdr:from>
    <xdr:to>
      <xdr:col>75</xdr:col>
      <xdr:colOff>1</xdr:colOff>
      <xdr:row>73</xdr:row>
      <xdr:rowOff>0</xdr:rowOff>
    </xdr:to>
    <xdr:grpSp>
      <xdr:nvGrpSpPr>
        <xdr:cNvPr id="345" name="그룹 344">
          <a:extLst>
            <a:ext uri="{FF2B5EF4-FFF2-40B4-BE49-F238E27FC236}">
              <a16:creationId xmlns:a16="http://schemas.microsoft.com/office/drawing/2014/main" id="{5956556F-A839-4000-A163-DA7B83ED046E}"/>
            </a:ext>
          </a:extLst>
        </xdr:cNvPr>
        <xdr:cNvGrpSpPr/>
      </xdr:nvGrpSpPr>
      <xdr:grpSpPr>
        <a:xfrm>
          <a:off x="47278637" y="10131136"/>
          <a:ext cx="3377046" cy="6303819"/>
          <a:chOff x="5739718" y="3483429"/>
          <a:chExt cx="3369007" cy="6096000"/>
        </a:xfrm>
      </xdr:grpSpPr>
      <xdr:sp macro="" textlink="">
        <xdr:nvSpPr>
          <xdr:cNvPr id="346" name="직사각형 345">
            <a:extLst>
              <a:ext uri="{FF2B5EF4-FFF2-40B4-BE49-F238E27FC236}">
                <a16:creationId xmlns:a16="http://schemas.microsoft.com/office/drawing/2014/main" id="{575782A7-77C7-4400-C35F-F9F2F91EF0BF}"/>
              </a:ext>
            </a:extLst>
          </xdr:cNvPr>
          <xdr:cNvSpPr/>
        </xdr:nvSpPr>
        <xdr:spPr>
          <a:xfrm>
            <a:off x="6072049" y="9355963"/>
            <a:ext cx="2694434" cy="223466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47" name="직사각형 346">
            <a:extLst>
              <a:ext uri="{FF2B5EF4-FFF2-40B4-BE49-F238E27FC236}">
                <a16:creationId xmlns:a16="http://schemas.microsoft.com/office/drawing/2014/main" id="{51F01CD3-03DF-D0BC-B15E-4B31FB31EA4A}"/>
              </a:ext>
            </a:extLst>
          </xdr:cNvPr>
          <xdr:cNvSpPr/>
        </xdr:nvSpPr>
        <xdr:spPr>
          <a:xfrm>
            <a:off x="6074447" y="7403368"/>
            <a:ext cx="2694434" cy="220303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48" name="직사각형 347">
            <a:extLst>
              <a:ext uri="{FF2B5EF4-FFF2-40B4-BE49-F238E27FC236}">
                <a16:creationId xmlns:a16="http://schemas.microsoft.com/office/drawing/2014/main" id="{67DD5A6A-B361-050B-3D90-CCBA1AB81F84}"/>
              </a:ext>
            </a:extLst>
          </xdr:cNvPr>
          <xdr:cNvSpPr/>
        </xdr:nvSpPr>
        <xdr:spPr>
          <a:xfrm>
            <a:off x="6075313" y="5442857"/>
            <a:ext cx="2696398" cy="223465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49" name="직사각형 348">
            <a:extLst>
              <a:ext uri="{FF2B5EF4-FFF2-40B4-BE49-F238E27FC236}">
                <a16:creationId xmlns:a16="http://schemas.microsoft.com/office/drawing/2014/main" id="{82607371-6F0B-3167-5774-F1F99728C3D7}"/>
              </a:ext>
            </a:extLst>
          </xdr:cNvPr>
          <xdr:cNvSpPr/>
        </xdr:nvSpPr>
        <xdr:spPr>
          <a:xfrm>
            <a:off x="6074229" y="3483429"/>
            <a:ext cx="2699657" cy="221779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0" name="직사각형 349">
            <a:extLst>
              <a:ext uri="{FF2B5EF4-FFF2-40B4-BE49-F238E27FC236}">
                <a16:creationId xmlns:a16="http://schemas.microsoft.com/office/drawing/2014/main" id="{4E2E35D1-5C70-FC10-85E2-C83E8364154B}"/>
              </a:ext>
            </a:extLst>
          </xdr:cNvPr>
          <xdr:cNvSpPr/>
        </xdr:nvSpPr>
        <xdr:spPr>
          <a:xfrm>
            <a:off x="8773886" y="3483429"/>
            <a:ext cx="334839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1" name="직사각형 350">
            <a:extLst>
              <a:ext uri="{FF2B5EF4-FFF2-40B4-BE49-F238E27FC236}">
                <a16:creationId xmlns:a16="http://schemas.microsoft.com/office/drawing/2014/main" id="{6146C6EF-C9F2-C94E-D5B1-AAF4BA8AAA55}"/>
              </a:ext>
            </a:extLst>
          </xdr:cNvPr>
          <xdr:cNvSpPr/>
        </xdr:nvSpPr>
        <xdr:spPr>
          <a:xfrm>
            <a:off x="5739718" y="3483429"/>
            <a:ext cx="339194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75</xdr:col>
      <xdr:colOff>0</xdr:colOff>
      <xdr:row>45</xdr:row>
      <xdr:rowOff>0</xdr:rowOff>
    </xdr:from>
    <xdr:to>
      <xdr:col>80</xdr:col>
      <xdr:colOff>4659</xdr:colOff>
      <xdr:row>73</xdr:row>
      <xdr:rowOff>0</xdr:rowOff>
    </xdr:to>
    <xdr:grpSp>
      <xdr:nvGrpSpPr>
        <xdr:cNvPr id="352" name="그룹 351">
          <a:extLst>
            <a:ext uri="{FF2B5EF4-FFF2-40B4-BE49-F238E27FC236}">
              <a16:creationId xmlns:a16="http://schemas.microsoft.com/office/drawing/2014/main" id="{B8F08B98-17D0-4589-B7D7-98B231078220}"/>
            </a:ext>
          </a:extLst>
        </xdr:cNvPr>
        <xdr:cNvGrpSpPr/>
      </xdr:nvGrpSpPr>
      <xdr:grpSpPr>
        <a:xfrm>
          <a:off x="50655682" y="10131136"/>
          <a:ext cx="3381704" cy="6303819"/>
          <a:chOff x="5735035" y="3483429"/>
          <a:chExt cx="3373690" cy="6096000"/>
        </a:xfrm>
      </xdr:grpSpPr>
      <xdr:sp macro="" textlink="">
        <xdr:nvSpPr>
          <xdr:cNvPr id="353" name="직사각형 352">
            <a:extLst>
              <a:ext uri="{FF2B5EF4-FFF2-40B4-BE49-F238E27FC236}">
                <a16:creationId xmlns:a16="http://schemas.microsoft.com/office/drawing/2014/main" id="{65045944-52B6-2250-F933-CC98F6A9986E}"/>
              </a:ext>
            </a:extLst>
          </xdr:cNvPr>
          <xdr:cNvSpPr/>
        </xdr:nvSpPr>
        <xdr:spPr>
          <a:xfrm>
            <a:off x="6072049" y="9355963"/>
            <a:ext cx="2694434" cy="223466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4" name="직사각형 353">
            <a:extLst>
              <a:ext uri="{FF2B5EF4-FFF2-40B4-BE49-F238E27FC236}">
                <a16:creationId xmlns:a16="http://schemas.microsoft.com/office/drawing/2014/main" id="{CADCC72D-D99D-CCCB-EB4A-E1BF487CE03B}"/>
              </a:ext>
            </a:extLst>
          </xdr:cNvPr>
          <xdr:cNvSpPr/>
        </xdr:nvSpPr>
        <xdr:spPr>
          <a:xfrm>
            <a:off x="6074447" y="7403368"/>
            <a:ext cx="2694434" cy="220303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5" name="직사각형 354">
            <a:extLst>
              <a:ext uri="{FF2B5EF4-FFF2-40B4-BE49-F238E27FC236}">
                <a16:creationId xmlns:a16="http://schemas.microsoft.com/office/drawing/2014/main" id="{BE50584D-BB0E-7DA0-1823-44FBA94BE0D4}"/>
              </a:ext>
            </a:extLst>
          </xdr:cNvPr>
          <xdr:cNvSpPr/>
        </xdr:nvSpPr>
        <xdr:spPr>
          <a:xfrm>
            <a:off x="6075313" y="5442857"/>
            <a:ext cx="2696398" cy="223465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6" name="직사각형 355">
            <a:extLst>
              <a:ext uri="{FF2B5EF4-FFF2-40B4-BE49-F238E27FC236}">
                <a16:creationId xmlns:a16="http://schemas.microsoft.com/office/drawing/2014/main" id="{5D922C1B-B84A-BB4D-2C7F-D4CC11DD06AA}"/>
              </a:ext>
            </a:extLst>
          </xdr:cNvPr>
          <xdr:cNvSpPr/>
        </xdr:nvSpPr>
        <xdr:spPr>
          <a:xfrm>
            <a:off x="6074229" y="3483429"/>
            <a:ext cx="2699657" cy="221779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7" name="직사각형 356">
            <a:extLst>
              <a:ext uri="{FF2B5EF4-FFF2-40B4-BE49-F238E27FC236}">
                <a16:creationId xmlns:a16="http://schemas.microsoft.com/office/drawing/2014/main" id="{B972150B-4B69-B1DA-F46F-113DD9E09FB8}"/>
              </a:ext>
            </a:extLst>
          </xdr:cNvPr>
          <xdr:cNvSpPr/>
        </xdr:nvSpPr>
        <xdr:spPr>
          <a:xfrm>
            <a:off x="8773886" y="3483429"/>
            <a:ext cx="334839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8" name="직사각형 357">
            <a:extLst>
              <a:ext uri="{FF2B5EF4-FFF2-40B4-BE49-F238E27FC236}">
                <a16:creationId xmlns:a16="http://schemas.microsoft.com/office/drawing/2014/main" id="{5E9CCCEA-6250-9ECA-42BB-4C6AE20CA131}"/>
              </a:ext>
            </a:extLst>
          </xdr:cNvPr>
          <xdr:cNvSpPr/>
        </xdr:nvSpPr>
        <xdr:spPr>
          <a:xfrm>
            <a:off x="5735035" y="3483429"/>
            <a:ext cx="339194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79</xdr:col>
      <xdr:colOff>662940</xdr:colOff>
      <xdr:row>45</xdr:row>
      <xdr:rowOff>0</xdr:rowOff>
    </xdr:from>
    <xdr:to>
      <xdr:col>84</xdr:col>
      <xdr:colOff>662058</xdr:colOff>
      <xdr:row>73</xdr:row>
      <xdr:rowOff>0</xdr:rowOff>
    </xdr:to>
    <xdr:grpSp>
      <xdr:nvGrpSpPr>
        <xdr:cNvPr id="359" name="그룹 358">
          <a:extLst>
            <a:ext uri="{FF2B5EF4-FFF2-40B4-BE49-F238E27FC236}">
              <a16:creationId xmlns:a16="http://schemas.microsoft.com/office/drawing/2014/main" id="{C4CE6245-CC3B-4158-8141-9E208E37DE5D}"/>
            </a:ext>
          </a:extLst>
        </xdr:cNvPr>
        <xdr:cNvGrpSpPr/>
      </xdr:nvGrpSpPr>
      <xdr:grpSpPr>
        <a:xfrm>
          <a:off x="54020258" y="10131136"/>
          <a:ext cx="3376164" cy="6303819"/>
          <a:chOff x="5735035" y="3483429"/>
          <a:chExt cx="3373690" cy="6096000"/>
        </a:xfrm>
      </xdr:grpSpPr>
      <xdr:sp macro="" textlink="">
        <xdr:nvSpPr>
          <xdr:cNvPr id="360" name="직사각형 359">
            <a:extLst>
              <a:ext uri="{FF2B5EF4-FFF2-40B4-BE49-F238E27FC236}">
                <a16:creationId xmlns:a16="http://schemas.microsoft.com/office/drawing/2014/main" id="{86FA7F3B-C668-CA5F-D93A-09140F0021A5}"/>
              </a:ext>
            </a:extLst>
          </xdr:cNvPr>
          <xdr:cNvSpPr/>
        </xdr:nvSpPr>
        <xdr:spPr>
          <a:xfrm>
            <a:off x="6072049" y="9355963"/>
            <a:ext cx="2694434" cy="223466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61" name="직사각형 360">
            <a:extLst>
              <a:ext uri="{FF2B5EF4-FFF2-40B4-BE49-F238E27FC236}">
                <a16:creationId xmlns:a16="http://schemas.microsoft.com/office/drawing/2014/main" id="{EFB0E2A7-0D91-773B-CD00-FCADFB7A1B02}"/>
              </a:ext>
            </a:extLst>
          </xdr:cNvPr>
          <xdr:cNvSpPr/>
        </xdr:nvSpPr>
        <xdr:spPr>
          <a:xfrm>
            <a:off x="6074447" y="7403368"/>
            <a:ext cx="2694434" cy="220303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62" name="직사각형 361">
            <a:extLst>
              <a:ext uri="{FF2B5EF4-FFF2-40B4-BE49-F238E27FC236}">
                <a16:creationId xmlns:a16="http://schemas.microsoft.com/office/drawing/2014/main" id="{C350A8B4-4489-1A1E-4F69-69E1E74F68D3}"/>
              </a:ext>
            </a:extLst>
          </xdr:cNvPr>
          <xdr:cNvSpPr/>
        </xdr:nvSpPr>
        <xdr:spPr>
          <a:xfrm>
            <a:off x="6075313" y="5442857"/>
            <a:ext cx="2696398" cy="223465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63" name="직사각형 362">
            <a:extLst>
              <a:ext uri="{FF2B5EF4-FFF2-40B4-BE49-F238E27FC236}">
                <a16:creationId xmlns:a16="http://schemas.microsoft.com/office/drawing/2014/main" id="{A983CEC8-1BFB-248E-5FCB-164B5D7726B2}"/>
              </a:ext>
            </a:extLst>
          </xdr:cNvPr>
          <xdr:cNvSpPr/>
        </xdr:nvSpPr>
        <xdr:spPr>
          <a:xfrm>
            <a:off x="6074229" y="3483429"/>
            <a:ext cx="2699657" cy="221779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64" name="직사각형 363">
            <a:extLst>
              <a:ext uri="{FF2B5EF4-FFF2-40B4-BE49-F238E27FC236}">
                <a16:creationId xmlns:a16="http://schemas.microsoft.com/office/drawing/2014/main" id="{AF9DE7A5-95DC-C211-69E0-178ECB65C281}"/>
              </a:ext>
            </a:extLst>
          </xdr:cNvPr>
          <xdr:cNvSpPr/>
        </xdr:nvSpPr>
        <xdr:spPr>
          <a:xfrm>
            <a:off x="8773886" y="3483429"/>
            <a:ext cx="334839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65" name="직사각형 364">
            <a:extLst>
              <a:ext uri="{FF2B5EF4-FFF2-40B4-BE49-F238E27FC236}">
                <a16:creationId xmlns:a16="http://schemas.microsoft.com/office/drawing/2014/main" id="{1AD8971D-5212-0DCD-C950-AE36B7C94BC1}"/>
              </a:ext>
            </a:extLst>
          </xdr:cNvPr>
          <xdr:cNvSpPr/>
        </xdr:nvSpPr>
        <xdr:spPr>
          <a:xfrm>
            <a:off x="5735035" y="3483429"/>
            <a:ext cx="339194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85</xdr:col>
      <xdr:colOff>882</xdr:colOff>
      <xdr:row>45</xdr:row>
      <xdr:rowOff>0</xdr:rowOff>
    </xdr:from>
    <xdr:to>
      <xdr:col>90</xdr:col>
      <xdr:colOff>0</xdr:colOff>
      <xdr:row>73</xdr:row>
      <xdr:rowOff>0</xdr:rowOff>
    </xdr:to>
    <xdr:grpSp>
      <xdr:nvGrpSpPr>
        <xdr:cNvPr id="366" name="그룹 365">
          <a:extLst>
            <a:ext uri="{FF2B5EF4-FFF2-40B4-BE49-F238E27FC236}">
              <a16:creationId xmlns:a16="http://schemas.microsoft.com/office/drawing/2014/main" id="{421E05FD-2A6D-4E53-B9BC-ACCABBF372CC}"/>
            </a:ext>
          </a:extLst>
        </xdr:cNvPr>
        <xdr:cNvGrpSpPr/>
      </xdr:nvGrpSpPr>
      <xdr:grpSpPr>
        <a:xfrm>
          <a:off x="57410655" y="10131136"/>
          <a:ext cx="3376163" cy="6303819"/>
          <a:chOff x="5735035" y="3483429"/>
          <a:chExt cx="3373690" cy="6096000"/>
        </a:xfrm>
      </xdr:grpSpPr>
      <xdr:sp macro="" textlink="">
        <xdr:nvSpPr>
          <xdr:cNvPr id="367" name="직사각형 366">
            <a:extLst>
              <a:ext uri="{FF2B5EF4-FFF2-40B4-BE49-F238E27FC236}">
                <a16:creationId xmlns:a16="http://schemas.microsoft.com/office/drawing/2014/main" id="{5798A417-8DA6-53A5-F408-2AE51825F612}"/>
              </a:ext>
            </a:extLst>
          </xdr:cNvPr>
          <xdr:cNvSpPr/>
        </xdr:nvSpPr>
        <xdr:spPr>
          <a:xfrm>
            <a:off x="6072049" y="9355963"/>
            <a:ext cx="2694434" cy="223466"/>
          </a:xfrm>
          <a:prstGeom prst="rect">
            <a:avLst/>
          </a:prstGeom>
          <a:ln w="57150"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68" name="직사각형 367">
            <a:extLst>
              <a:ext uri="{FF2B5EF4-FFF2-40B4-BE49-F238E27FC236}">
                <a16:creationId xmlns:a16="http://schemas.microsoft.com/office/drawing/2014/main" id="{895B3581-3F6E-2D56-0A50-6D7A13E70686}"/>
              </a:ext>
            </a:extLst>
          </xdr:cNvPr>
          <xdr:cNvSpPr/>
        </xdr:nvSpPr>
        <xdr:spPr>
          <a:xfrm>
            <a:off x="6074229" y="3483429"/>
            <a:ext cx="2699657" cy="221779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69" name="직사각형 368">
            <a:extLst>
              <a:ext uri="{FF2B5EF4-FFF2-40B4-BE49-F238E27FC236}">
                <a16:creationId xmlns:a16="http://schemas.microsoft.com/office/drawing/2014/main" id="{E98998DC-79B0-896E-4D44-49531FD29AA4}"/>
              </a:ext>
            </a:extLst>
          </xdr:cNvPr>
          <xdr:cNvSpPr/>
        </xdr:nvSpPr>
        <xdr:spPr>
          <a:xfrm>
            <a:off x="8773886" y="3483429"/>
            <a:ext cx="334839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0" name="직사각형 369">
            <a:extLst>
              <a:ext uri="{FF2B5EF4-FFF2-40B4-BE49-F238E27FC236}">
                <a16:creationId xmlns:a16="http://schemas.microsoft.com/office/drawing/2014/main" id="{3F296FA3-1F6B-5047-94B9-0A013A6C6B21}"/>
              </a:ext>
            </a:extLst>
          </xdr:cNvPr>
          <xdr:cNvSpPr/>
        </xdr:nvSpPr>
        <xdr:spPr>
          <a:xfrm>
            <a:off x="5735035" y="3483429"/>
            <a:ext cx="339194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70</xdr:col>
      <xdr:colOff>0</xdr:colOff>
      <xdr:row>73</xdr:row>
      <xdr:rowOff>0</xdr:rowOff>
    </xdr:from>
    <xdr:to>
      <xdr:col>95</xdr:col>
      <xdr:colOff>0</xdr:colOff>
      <xdr:row>73</xdr:row>
      <xdr:rowOff>224117</xdr:rowOff>
    </xdr:to>
    <xdr:sp macro="" textlink="">
      <xdr:nvSpPr>
        <xdr:cNvPr id="371" name="직사각형 370">
          <a:extLst>
            <a:ext uri="{FF2B5EF4-FFF2-40B4-BE49-F238E27FC236}">
              <a16:creationId xmlns:a16="http://schemas.microsoft.com/office/drawing/2014/main" id="{259370DA-ED4D-4173-AB30-6C11385CCBE0}"/>
            </a:ext>
          </a:extLst>
        </xdr:cNvPr>
        <xdr:cNvSpPr/>
      </xdr:nvSpPr>
      <xdr:spPr>
        <a:xfrm flipV="1">
          <a:off x="10668000" y="8001000"/>
          <a:ext cx="16668750" cy="224117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67</xdr:col>
      <xdr:colOff>0</xdr:colOff>
      <xdr:row>45</xdr:row>
      <xdr:rowOff>0</xdr:rowOff>
    </xdr:from>
    <xdr:to>
      <xdr:col>69</xdr:col>
      <xdr:colOff>0</xdr:colOff>
      <xdr:row>74</xdr:row>
      <xdr:rowOff>1</xdr:rowOff>
    </xdr:to>
    <xdr:sp macro="" textlink="">
      <xdr:nvSpPr>
        <xdr:cNvPr id="372" name="직사각형 371">
          <a:extLst>
            <a:ext uri="{FF2B5EF4-FFF2-40B4-BE49-F238E27FC236}">
              <a16:creationId xmlns:a16="http://schemas.microsoft.com/office/drawing/2014/main" id="{31576C1B-9E12-4595-8904-4C5F8BADED9B}"/>
            </a:ext>
          </a:extLst>
        </xdr:cNvPr>
        <xdr:cNvSpPr/>
      </xdr:nvSpPr>
      <xdr:spPr>
        <a:xfrm>
          <a:off x="8717280" y="10439400"/>
          <a:ext cx="1341120" cy="6431281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87</xdr:col>
      <xdr:colOff>0</xdr:colOff>
      <xdr:row>6</xdr:row>
      <xdr:rowOff>218660</xdr:rowOff>
    </xdr:from>
    <xdr:to>
      <xdr:col>88</xdr:col>
      <xdr:colOff>0</xdr:colOff>
      <xdr:row>34</xdr:row>
      <xdr:rowOff>0</xdr:rowOff>
    </xdr:to>
    <xdr:sp macro="" textlink="">
      <xdr:nvSpPr>
        <xdr:cNvPr id="499" name="사각형: 둥근 모서리 498">
          <a:extLst>
            <a:ext uri="{FF2B5EF4-FFF2-40B4-BE49-F238E27FC236}">
              <a16:creationId xmlns:a16="http://schemas.microsoft.com/office/drawing/2014/main" id="{6250CB46-0AF3-43C4-8A9B-1B1F1AD8AA69}"/>
            </a:ext>
          </a:extLst>
        </xdr:cNvPr>
        <xdr:cNvSpPr/>
      </xdr:nvSpPr>
      <xdr:spPr>
        <a:xfrm>
          <a:off x="22002750" y="19421060"/>
          <a:ext cx="666750" cy="6182140"/>
        </a:xfrm>
        <a:prstGeom prst="roundRect">
          <a:avLst/>
        </a:prstGeom>
        <a:noFill/>
        <a:ln w="165100"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90</xdr:col>
      <xdr:colOff>0</xdr:colOff>
      <xdr:row>26</xdr:row>
      <xdr:rowOff>0</xdr:rowOff>
    </xdr:from>
    <xdr:to>
      <xdr:col>95</xdr:col>
      <xdr:colOff>6926</xdr:colOff>
      <xdr:row>33</xdr:row>
      <xdr:rowOff>1</xdr:rowOff>
    </xdr:to>
    <xdr:grpSp>
      <xdr:nvGrpSpPr>
        <xdr:cNvPr id="500" name="그룹 499">
          <a:extLst>
            <a:ext uri="{FF2B5EF4-FFF2-40B4-BE49-F238E27FC236}">
              <a16:creationId xmlns:a16="http://schemas.microsoft.com/office/drawing/2014/main" id="{7A996BC2-4F63-4290-B6B7-7D1220C5A669}"/>
            </a:ext>
          </a:extLst>
        </xdr:cNvPr>
        <xdr:cNvGrpSpPr/>
      </xdr:nvGrpSpPr>
      <xdr:grpSpPr>
        <a:xfrm>
          <a:off x="60786818" y="5853545"/>
          <a:ext cx="3383972" cy="1575956"/>
          <a:chOff x="13095584" y="6887989"/>
          <a:chExt cx="3359401" cy="1550542"/>
        </a:xfrm>
      </xdr:grpSpPr>
      <xdr:sp macro="" textlink="">
        <xdr:nvSpPr>
          <xdr:cNvPr id="501" name="타원 500">
            <a:extLst>
              <a:ext uri="{FF2B5EF4-FFF2-40B4-BE49-F238E27FC236}">
                <a16:creationId xmlns:a16="http://schemas.microsoft.com/office/drawing/2014/main" id="{E34613B6-D961-1819-5105-7A7B239F1900}"/>
              </a:ext>
            </a:extLst>
          </xdr:cNvPr>
          <xdr:cNvSpPr/>
        </xdr:nvSpPr>
        <xdr:spPr>
          <a:xfrm>
            <a:off x="15320008" y="7970999"/>
            <a:ext cx="463103" cy="444285"/>
          </a:xfrm>
          <a:prstGeom prst="ellipse">
            <a:avLst/>
          </a:prstGeom>
          <a:solidFill>
            <a:schemeClr val="bg1">
              <a:lumMod val="85000"/>
            </a:schemeClr>
          </a:solidFill>
          <a:ln w="762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02" name="타원 501">
            <a:extLst>
              <a:ext uri="{FF2B5EF4-FFF2-40B4-BE49-F238E27FC236}">
                <a16:creationId xmlns:a16="http://schemas.microsoft.com/office/drawing/2014/main" id="{C84922D5-4F8D-B8BD-D61D-3B96504238B0}"/>
              </a:ext>
            </a:extLst>
          </xdr:cNvPr>
          <xdr:cNvSpPr/>
        </xdr:nvSpPr>
        <xdr:spPr>
          <a:xfrm>
            <a:off x="13768333" y="7994246"/>
            <a:ext cx="463103" cy="444285"/>
          </a:xfrm>
          <a:prstGeom prst="ellipse">
            <a:avLst/>
          </a:prstGeom>
          <a:solidFill>
            <a:schemeClr val="bg1">
              <a:lumMod val="85000"/>
            </a:schemeClr>
          </a:solidFill>
          <a:ln w="762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503" name="그룹 502">
            <a:extLst>
              <a:ext uri="{FF2B5EF4-FFF2-40B4-BE49-F238E27FC236}">
                <a16:creationId xmlns:a16="http://schemas.microsoft.com/office/drawing/2014/main" id="{44852ACF-3B43-878B-4332-C81C69C4AB04}"/>
              </a:ext>
            </a:extLst>
          </xdr:cNvPr>
          <xdr:cNvGrpSpPr/>
        </xdr:nvGrpSpPr>
        <xdr:grpSpPr>
          <a:xfrm>
            <a:off x="13095584" y="6887989"/>
            <a:ext cx="3359401" cy="1340917"/>
            <a:chOff x="10386713" y="5540991"/>
            <a:chExt cx="3349594" cy="1334124"/>
          </a:xfrm>
        </xdr:grpSpPr>
        <xdr:grpSp>
          <xdr:nvGrpSpPr>
            <xdr:cNvPr id="504" name="그룹 503">
              <a:extLst>
                <a:ext uri="{FF2B5EF4-FFF2-40B4-BE49-F238E27FC236}">
                  <a16:creationId xmlns:a16="http://schemas.microsoft.com/office/drawing/2014/main" id="{3CE9A0C0-BB21-6120-29CE-68DFAC75E1C2}"/>
                </a:ext>
              </a:extLst>
            </xdr:cNvPr>
            <xdr:cNvGrpSpPr/>
          </xdr:nvGrpSpPr>
          <xdr:grpSpPr>
            <a:xfrm>
              <a:off x="10386713" y="5540991"/>
              <a:ext cx="3349594" cy="1334124"/>
              <a:chOff x="10373140" y="5469083"/>
              <a:chExt cx="3342858" cy="1313764"/>
            </a:xfrm>
          </xdr:grpSpPr>
          <xdr:sp macro="" textlink="">
            <xdr:nvSpPr>
              <xdr:cNvPr id="506" name="직사각형 505">
                <a:extLst>
                  <a:ext uri="{FF2B5EF4-FFF2-40B4-BE49-F238E27FC236}">
                    <a16:creationId xmlns:a16="http://schemas.microsoft.com/office/drawing/2014/main" id="{9180428A-B0F5-0064-CC7C-D5341E785EAA}"/>
                  </a:ext>
                </a:extLst>
              </xdr:cNvPr>
              <xdr:cNvSpPr/>
            </xdr:nvSpPr>
            <xdr:spPr>
              <a:xfrm>
                <a:off x="10373140" y="5471904"/>
                <a:ext cx="668571" cy="1310943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507" name="직사각형 506">
                <a:extLst>
                  <a:ext uri="{FF2B5EF4-FFF2-40B4-BE49-F238E27FC236}">
                    <a16:creationId xmlns:a16="http://schemas.microsoft.com/office/drawing/2014/main" id="{21082FB8-8DF6-5611-1F99-86F1548B6048}"/>
                  </a:ext>
                </a:extLst>
              </xdr:cNvPr>
              <xdr:cNvSpPr/>
            </xdr:nvSpPr>
            <xdr:spPr>
              <a:xfrm>
                <a:off x="11042568" y="6557005"/>
                <a:ext cx="2004859" cy="218661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508" name="직사각형 507">
                <a:extLst>
                  <a:ext uri="{FF2B5EF4-FFF2-40B4-BE49-F238E27FC236}">
                    <a16:creationId xmlns:a16="http://schemas.microsoft.com/office/drawing/2014/main" id="{684F1771-8281-53C0-7D5F-E339F3FD9D88}"/>
                  </a:ext>
                </a:extLst>
              </xdr:cNvPr>
              <xdr:cNvSpPr/>
            </xdr:nvSpPr>
            <xdr:spPr>
              <a:xfrm>
                <a:off x="13047425" y="5469083"/>
                <a:ext cx="668573" cy="1310943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  <xdr:sp macro="" textlink="">
          <xdr:nvSpPr>
            <xdr:cNvPr id="505" name="직사각형 504">
              <a:extLst>
                <a:ext uri="{FF2B5EF4-FFF2-40B4-BE49-F238E27FC236}">
                  <a16:creationId xmlns:a16="http://schemas.microsoft.com/office/drawing/2014/main" id="{B2506290-0558-CC3D-2492-C362E417832E}"/>
                </a:ext>
              </a:extLst>
            </xdr:cNvPr>
            <xdr:cNvSpPr/>
          </xdr:nvSpPr>
          <xdr:spPr>
            <a:xfrm>
              <a:off x="11056632" y="6425391"/>
              <a:ext cx="2010335" cy="236891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90</xdr:col>
      <xdr:colOff>0</xdr:colOff>
      <xdr:row>24</xdr:row>
      <xdr:rowOff>216639</xdr:rowOff>
    </xdr:from>
    <xdr:to>
      <xdr:col>95</xdr:col>
      <xdr:colOff>0</xdr:colOff>
      <xdr:row>34</xdr:row>
      <xdr:rowOff>0</xdr:rowOff>
    </xdr:to>
    <xdr:grpSp>
      <xdr:nvGrpSpPr>
        <xdr:cNvPr id="509" name="그룹 508">
          <a:extLst>
            <a:ext uri="{FF2B5EF4-FFF2-40B4-BE49-F238E27FC236}">
              <a16:creationId xmlns:a16="http://schemas.microsoft.com/office/drawing/2014/main" id="{9033F964-0866-48D9-BDD3-128F81497259}"/>
            </a:ext>
          </a:extLst>
        </xdr:cNvPr>
        <xdr:cNvGrpSpPr/>
      </xdr:nvGrpSpPr>
      <xdr:grpSpPr>
        <a:xfrm>
          <a:off x="60786818" y="5619912"/>
          <a:ext cx="3377046" cy="2034724"/>
          <a:chOff x="19378246" y="7789747"/>
          <a:chExt cx="3341077" cy="2010745"/>
        </a:xfrm>
      </xdr:grpSpPr>
      <xdr:sp macro="" textlink="">
        <xdr:nvSpPr>
          <xdr:cNvPr id="510" name="직사각형 509">
            <a:extLst>
              <a:ext uri="{FF2B5EF4-FFF2-40B4-BE49-F238E27FC236}">
                <a16:creationId xmlns:a16="http://schemas.microsoft.com/office/drawing/2014/main" id="{A4CBCD9F-E392-B8AE-80D2-C96C3D0DA7A3}"/>
              </a:ext>
            </a:extLst>
          </xdr:cNvPr>
          <xdr:cNvSpPr/>
        </xdr:nvSpPr>
        <xdr:spPr>
          <a:xfrm>
            <a:off x="19378247" y="9577755"/>
            <a:ext cx="3341076" cy="222737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11" name="직사각형 510">
            <a:extLst>
              <a:ext uri="{FF2B5EF4-FFF2-40B4-BE49-F238E27FC236}">
                <a16:creationId xmlns:a16="http://schemas.microsoft.com/office/drawing/2014/main" id="{AACC202F-2D41-7FD0-2988-E6DD18FB9D3F}"/>
              </a:ext>
            </a:extLst>
          </xdr:cNvPr>
          <xdr:cNvSpPr/>
        </xdr:nvSpPr>
        <xdr:spPr>
          <a:xfrm>
            <a:off x="19378246" y="7793789"/>
            <a:ext cx="334287" cy="2006703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12" name="직사각형 511">
            <a:extLst>
              <a:ext uri="{FF2B5EF4-FFF2-40B4-BE49-F238E27FC236}">
                <a16:creationId xmlns:a16="http://schemas.microsoft.com/office/drawing/2014/main" id="{EA7FB493-E2C9-79B6-DD7A-BE911BEF6871}"/>
              </a:ext>
            </a:extLst>
          </xdr:cNvPr>
          <xdr:cNvSpPr/>
        </xdr:nvSpPr>
        <xdr:spPr>
          <a:xfrm>
            <a:off x="22383886" y="7789747"/>
            <a:ext cx="335437" cy="2010745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70</xdr:col>
      <xdr:colOff>1</xdr:colOff>
      <xdr:row>6</xdr:row>
      <xdr:rowOff>0</xdr:rowOff>
    </xdr:from>
    <xdr:to>
      <xdr:col>75</xdr:col>
      <xdr:colOff>1</xdr:colOff>
      <xdr:row>34</xdr:row>
      <xdr:rowOff>0</xdr:rowOff>
    </xdr:to>
    <xdr:grpSp>
      <xdr:nvGrpSpPr>
        <xdr:cNvPr id="513" name="그룹 512">
          <a:extLst>
            <a:ext uri="{FF2B5EF4-FFF2-40B4-BE49-F238E27FC236}">
              <a16:creationId xmlns:a16="http://schemas.microsoft.com/office/drawing/2014/main" id="{68B46892-970F-4422-9412-D5281B02234E}"/>
            </a:ext>
          </a:extLst>
        </xdr:cNvPr>
        <xdr:cNvGrpSpPr/>
      </xdr:nvGrpSpPr>
      <xdr:grpSpPr>
        <a:xfrm>
          <a:off x="47278637" y="1350818"/>
          <a:ext cx="3377046" cy="6303818"/>
          <a:chOff x="5739718" y="3483429"/>
          <a:chExt cx="3369007" cy="6096000"/>
        </a:xfrm>
      </xdr:grpSpPr>
      <xdr:sp macro="" textlink="">
        <xdr:nvSpPr>
          <xdr:cNvPr id="514" name="직사각형 513">
            <a:extLst>
              <a:ext uri="{FF2B5EF4-FFF2-40B4-BE49-F238E27FC236}">
                <a16:creationId xmlns:a16="http://schemas.microsoft.com/office/drawing/2014/main" id="{4CD8DC65-E083-F3E6-695B-D2543052D745}"/>
              </a:ext>
            </a:extLst>
          </xdr:cNvPr>
          <xdr:cNvSpPr/>
        </xdr:nvSpPr>
        <xdr:spPr>
          <a:xfrm>
            <a:off x="6072049" y="9355963"/>
            <a:ext cx="2694434" cy="223466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15" name="직사각형 514">
            <a:extLst>
              <a:ext uri="{FF2B5EF4-FFF2-40B4-BE49-F238E27FC236}">
                <a16:creationId xmlns:a16="http://schemas.microsoft.com/office/drawing/2014/main" id="{A8688736-CA9A-9AAF-F350-422AD27999A3}"/>
              </a:ext>
            </a:extLst>
          </xdr:cNvPr>
          <xdr:cNvSpPr/>
        </xdr:nvSpPr>
        <xdr:spPr>
          <a:xfrm>
            <a:off x="6074447" y="7403368"/>
            <a:ext cx="2694434" cy="220303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16" name="직사각형 515">
            <a:extLst>
              <a:ext uri="{FF2B5EF4-FFF2-40B4-BE49-F238E27FC236}">
                <a16:creationId xmlns:a16="http://schemas.microsoft.com/office/drawing/2014/main" id="{989991E5-0230-0D1A-5A91-D8F8C6E9032D}"/>
              </a:ext>
            </a:extLst>
          </xdr:cNvPr>
          <xdr:cNvSpPr/>
        </xdr:nvSpPr>
        <xdr:spPr>
          <a:xfrm>
            <a:off x="6075313" y="5442857"/>
            <a:ext cx="2696398" cy="223465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17" name="직사각형 516">
            <a:extLst>
              <a:ext uri="{FF2B5EF4-FFF2-40B4-BE49-F238E27FC236}">
                <a16:creationId xmlns:a16="http://schemas.microsoft.com/office/drawing/2014/main" id="{3CB73D10-15C2-E582-99CB-CB8C1222D207}"/>
              </a:ext>
            </a:extLst>
          </xdr:cNvPr>
          <xdr:cNvSpPr/>
        </xdr:nvSpPr>
        <xdr:spPr>
          <a:xfrm>
            <a:off x="6074229" y="3483429"/>
            <a:ext cx="2699657" cy="221779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18" name="직사각형 517">
            <a:extLst>
              <a:ext uri="{FF2B5EF4-FFF2-40B4-BE49-F238E27FC236}">
                <a16:creationId xmlns:a16="http://schemas.microsoft.com/office/drawing/2014/main" id="{EFBCDDE9-391F-F461-DFB1-EA82DFAAF425}"/>
              </a:ext>
            </a:extLst>
          </xdr:cNvPr>
          <xdr:cNvSpPr/>
        </xdr:nvSpPr>
        <xdr:spPr>
          <a:xfrm>
            <a:off x="8773886" y="3483429"/>
            <a:ext cx="334839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19" name="직사각형 518">
            <a:extLst>
              <a:ext uri="{FF2B5EF4-FFF2-40B4-BE49-F238E27FC236}">
                <a16:creationId xmlns:a16="http://schemas.microsoft.com/office/drawing/2014/main" id="{1939D61D-8225-2EF9-8832-CA211DECB635}"/>
              </a:ext>
            </a:extLst>
          </xdr:cNvPr>
          <xdr:cNvSpPr/>
        </xdr:nvSpPr>
        <xdr:spPr>
          <a:xfrm>
            <a:off x="5739718" y="3483429"/>
            <a:ext cx="339194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75</xdr:col>
      <xdr:colOff>0</xdr:colOff>
      <xdr:row>6</xdr:row>
      <xdr:rowOff>0</xdr:rowOff>
    </xdr:from>
    <xdr:to>
      <xdr:col>80</xdr:col>
      <xdr:colOff>4659</xdr:colOff>
      <xdr:row>34</xdr:row>
      <xdr:rowOff>0</xdr:rowOff>
    </xdr:to>
    <xdr:grpSp>
      <xdr:nvGrpSpPr>
        <xdr:cNvPr id="520" name="그룹 519">
          <a:extLst>
            <a:ext uri="{FF2B5EF4-FFF2-40B4-BE49-F238E27FC236}">
              <a16:creationId xmlns:a16="http://schemas.microsoft.com/office/drawing/2014/main" id="{0E7CF3E7-B004-4218-976C-8F149DE01E53}"/>
            </a:ext>
          </a:extLst>
        </xdr:cNvPr>
        <xdr:cNvGrpSpPr/>
      </xdr:nvGrpSpPr>
      <xdr:grpSpPr>
        <a:xfrm>
          <a:off x="50655682" y="1350818"/>
          <a:ext cx="3381704" cy="6303818"/>
          <a:chOff x="5735035" y="3483429"/>
          <a:chExt cx="3373690" cy="6096000"/>
        </a:xfrm>
      </xdr:grpSpPr>
      <xdr:sp macro="" textlink="">
        <xdr:nvSpPr>
          <xdr:cNvPr id="521" name="직사각형 520">
            <a:extLst>
              <a:ext uri="{FF2B5EF4-FFF2-40B4-BE49-F238E27FC236}">
                <a16:creationId xmlns:a16="http://schemas.microsoft.com/office/drawing/2014/main" id="{55F9A881-E155-CAF5-15FE-5E9F1BBA9C14}"/>
              </a:ext>
            </a:extLst>
          </xdr:cNvPr>
          <xdr:cNvSpPr/>
        </xdr:nvSpPr>
        <xdr:spPr>
          <a:xfrm>
            <a:off x="6072049" y="9355963"/>
            <a:ext cx="2694434" cy="223466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22" name="직사각형 521">
            <a:extLst>
              <a:ext uri="{FF2B5EF4-FFF2-40B4-BE49-F238E27FC236}">
                <a16:creationId xmlns:a16="http://schemas.microsoft.com/office/drawing/2014/main" id="{53DA5363-C4B4-6643-8ABC-D2BB9A146DF6}"/>
              </a:ext>
            </a:extLst>
          </xdr:cNvPr>
          <xdr:cNvSpPr/>
        </xdr:nvSpPr>
        <xdr:spPr>
          <a:xfrm>
            <a:off x="6074447" y="7403368"/>
            <a:ext cx="2694434" cy="220303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23" name="직사각형 522">
            <a:extLst>
              <a:ext uri="{FF2B5EF4-FFF2-40B4-BE49-F238E27FC236}">
                <a16:creationId xmlns:a16="http://schemas.microsoft.com/office/drawing/2014/main" id="{C8BDD7FD-CA32-18C0-12FF-C177B872DAD8}"/>
              </a:ext>
            </a:extLst>
          </xdr:cNvPr>
          <xdr:cNvSpPr/>
        </xdr:nvSpPr>
        <xdr:spPr>
          <a:xfrm>
            <a:off x="6075313" y="5442857"/>
            <a:ext cx="2696398" cy="223465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24" name="직사각형 523">
            <a:extLst>
              <a:ext uri="{FF2B5EF4-FFF2-40B4-BE49-F238E27FC236}">
                <a16:creationId xmlns:a16="http://schemas.microsoft.com/office/drawing/2014/main" id="{8AD390D2-9837-29E9-2BE8-2E1C7E12C28E}"/>
              </a:ext>
            </a:extLst>
          </xdr:cNvPr>
          <xdr:cNvSpPr/>
        </xdr:nvSpPr>
        <xdr:spPr>
          <a:xfrm>
            <a:off x="6074229" y="3483429"/>
            <a:ext cx="2699657" cy="221779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25" name="직사각형 524">
            <a:extLst>
              <a:ext uri="{FF2B5EF4-FFF2-40B4-BE49-F238E27FC236}">
                <a16:creationId xmlns:a16="http://schemas.microsoft.com/office/drawing/2014/main" id="{A95C3510-ED47-6484-A38F-8BE7E5F94E1A}"/>
              </a:ext>
            </a:extLst>
          </xdr:cNvPr>
          <xdr:cNvSpPr/>
        </xdr:nvSpPr>
        <xdr:spPr>
          <a:xfrm>
            <a:off x="8773886" y="3483429"/>
            <a:ext cx="334839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26" name="직사각형 525">
            <a:extLst>
              <a:ext uri="{FF2B5EF4-FFF2-40B4-BE49-F238E27FC236}">
                <a16:creationId xmlns:a16="http://schemas.microsoft.com/office/drawing/2014/main" id="{12F37CF7-54CA-9150-5800-ADD0D35858AB}"/>
              </a:ext>
            </a:extLst>
          </xdr:cNvPr>
          <xdr:cNvSpPr/>
        </xdr:nvSpPr>
        <xdr:spPr>
          <a:xfrm>
            <a:off x="5735035" y="3483429"/>
            <a:ext cx="339194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79</xdr:col>
      <xdr:colOff>662940</xdr:colOff>
      <xdr:row>6</xdr:row>
      <xdr:rowOff>0</xdr:rowOff>
    </xdr:from>
    <xdr:to>
      <xdr:col>84</xdr:col>
      <xdr:colOff>662058</xdr:colOff>
      <xdr:row>34</xdr:row>
      <xdr:rowOff>0</xdr:rowOff>
    </xdr:to>
    <xdr:grpSp>
      <xdr:nvGrpSpPr>
        <xdr:cNvPr id="527" name="그룹 526">
          <a:extLst>
            <a:ext uri="{FF2B5EF4-FFF2-40B4-BE49-F238E27FC236}">
              <a16:creationId xmlns:a16="http://schemas.microsoft.com/office/drawing/2014/main" id="{98B3EC96-05A0-49CA-86BF-4B40BFCE6603}"/>
            </a:ext>
          </a:extLst>
        </xdr:cNvPr>
        <xdr:cNvGrpSpPr/>
      </xdr:nvGrpSpPr>
      <xdr:grpSpPr>
        <a:xfrm>
          <a:off x="54020258" y="1350818"/>
          <a:ext cx="3376164" cy="6303818"/>
          <a:chOff x="5735035" y="3483429"/>
          <a:chExt cx="3373690" cy="6096000"/>
        </a:xfrm>
      </xdr:grpSpPr>
      <xdr:sp macro="" textlink="">
        <xdr:nvSpPr>
          <xdr:cNvPr id="528" name="직사각형 527">
            <a:extLst>
              <a:ext uri="{FF2B5EF4-FFF2-40B4-BE49-F238E27FC236}">
                <a16:creationId xmlns:a16="http://schemas.microsoft.com/office/drawing/2014/main" id="{EBC6876E-BB59-A1A4-1662-85CFE34DA4C5}"/>
              </a:ext>
            </a:extLst>
          </xdr:cNvPr>
          <xdr:cNvSpPr/>
        </xdr:nvSpPr>
        <xdr:spPr>
          <a:xfrm>
            <a:off x="6072049" y="9355963"/>
            <a:ext cx="2694434" cy="223466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29" name="직사각형 528">
            <a:extLst>
              <a:ext uri="{FF2B5EF4-FFF2-40B4-BE49-F238E27FC236}">
                <a16:creationId xmlns:a16="http://schemas.microsoft.com/office/drawing/2014/main" id="{0ED47F3D-2D0C-20F6-0911-FEA31E6DF1B8}"/>
              </a:ext>
            </a:extLst>
          </xdr:cNvPr>
          <xdr:cNvSpPr/>
        </xdr:nvSpPr>
        <xdr:spPr>
          <a:xfrm>
            <a:off x="6074447" y="7403368"/>
            <a:ext cx="2694434" cy="220303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0" name="직사각형 529">
            <a:extLst>
              <a:ext uri="{FF2B5EF4-FFF2-40B4-BE49-F238E27FC236}">
                <a16:creationId xmlns:a16="http://schemas.microsoft.com/office/drawing/2014/main" id="{8F66896B-A99F-1CB6-6D1D-B152BC972C05}"/>
              </a:ext>
            </a:extLst>
          </xdr:cNvPr>
          <xdr:cNvSpPr/>
        </xdr:nvSpPr>
        <xdr:spPr>
          <a:xfrm>
            <a:off x="6075313" y="5442857"/>
            <a:ext cx="2696398" cy="223465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1" name="직사각형 530">
            <a:extLst>
              <a:ext uri="{FF2B5EF4-FFF2-40B4-BE49-F238E27FC236}">
                <a16:creationId xmlns:a16="http://schemas.microsoft.com/office/drawing/2014/main" id="{F7C26BB5-361B-8546-9E76-242B7B2F2AF5}"/>
              </a:ext>
            </a:extLst>
          </xdr:cNvPr>
          <xdr:cNvSpPr/>
        </xdr:nvSpPr>
        <xdr:spPr>
          <a:xfrm>
            <a:off x="6074229" y="3483429"/>
            <a:ext cx="2699657" cy="221779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2" name="직사각형 531">
            <a:extLst>
              <a:ext uri="{FF2B5EF4-FFF2-40B4-BE49-F238E27FC236}">
                <a16:creationId xmlns:a16="http://schemas.microsoft.com/office/drawing/2014/main" id="{342ED547-8BC2-99A7-2750-F9DFCED39381}"/>
              </a:ext>
            </a:extLst>
          </xdr:cNvPr>
          <xdr:cNvSpPr/>
        </xdr:nvSpPr>
        <xdr:spPr>
          <a:xfrm>
            <a:off x="8773886" y="3483429"/>
            <a:ext cx="334839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3" name="직사각형 532">
            <a:extLst>
              <a:ext uri="{FF2B5EF4-FFF2-40B4-BE49-F238E27FC236}">
                <a16:creationId xmlns:a16="http://schemas.microsoft.com/office/drawing/2014/main" id="{F00BB84D-CDE9-464D-07F5-823EA16F2717}"/>
              </a:ext>
            </a:extLst>
          </xdr:cNvPr>
          <xdr:cNvSpPr/>
        </xdr:nvSpPr>
        <xdr:spPr>
          <a:xfrm>
            <a:off x="5735035" y="3483429"/>
            <a:ext cx="339194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85</xdr:col>
      <xdr:colOff>882</xdr:colOff>
      <xdr:row>6</xdr:row>
      <xdr:rowOff>0</xdr:rowOff>
    </xdr:from>
    <xdr:to>
      <xdr:col>90</xdr:col>
      <xdr:colOff>0</xdr:colOff>
      <xdr:row>34</xdr:row>
      <xdr:rowOff>0</xdr:rowOff>
    </xdr:to>
    <xdr:grpSp>
      <xdr:nvGrpSpPr>
        <xdr:cNvPr id="534" name="그룹 533">
          <a:extLst>
            <a:ext uri="{FF2B5EF4-FFF2-40B4-BE49-F238E27FC236}">
              <a16:creationId xmlns:a16="http://schemas.microsoft.com/office/drawing/2014/main" id="{4EF1C850-C038-4A00-8019-F43FE919A7A6}"/>
            </a:ext>
          </a:extLst>
        </xdr:cNvPr>
        <xdr:cNvGrpSpPr/>
      </xdr:nvGrpSpPr>
      <xdr:grpSpPr>
        <a:xfrm>
          <a:off x="57410655" y="1350818"/>
          <a:ext cx="3376163" cy="6303818"/>
          <a:chOff x="5735035" y="3483429"/>
          <a:chExt cx="3373690" cy="6096000"/>
        </a:xfrm>
      </xdr:grpSpPr>
      <xdr:sp macro="" textlink="">
        <xdr:nvSpPr>
          <xdr:cNvPr id="535" name="직사각형 534">
            <a:extLst>
              <a:ext uri="{FF2B5EF4-FFF2-40B4-BE49-F238E27FC236}">
                <a16:creationId xmlns:a16="http://schemas.microsoft.com/office/drawing/2014/main" id="{89AC1B60-359F-9AC2-7CA9-414B400E6CE0}"/>
              </a:ext>
            </a:extLst>
          </xdr:cNvPr>
          <xdr:cNvSpPr/>
        </xdr:nvSpPr>
        <xdr:spPr>
          <a:xfrm>
            <a:off x="6072049" y="9355963"/>
            <a:ext cx="2694434" cy="223466"/>
          </a:xfrm>
          <a:prstGeom prst="rect">
            <a:avLst/>
          </a:prstGeom>
          <a:ln w="57150"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6" name="직사각형 535">
            <a:extLst>
              <a:ext uri="{FF2B5EF4-FFF2-40B4-BE49-F238E27FC236}">
                <a16:creationId xmlns:a16="http://schemas.microsoft.com/office/drawing/2014/main" id="{86A5B1E9-6F52-0954-49FB-7506F9A42D9A}"/>
              </a:ext>
            </a:extLst>
          </xdr:cNvPr>
          <xdr:cNvSpPr/>
        </xdr:nvSpPr>
        <xdr:spPr>
          <a:xfrm>
            <a:off x="6074229" y="3483429"/>
            <a:ext cx="2699657" cy="221779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7" name="직사각형 536">
            <a:extLst>
              <a:ext uri="{FF2B5EF4-FFF2-40B4-BE49-F238E27FC236}">
                <a16:creationId xmlns:a16="http://schemas.microsoft.com/office/drawing/2014/main" id="{F9EC7028-ABC0-D791-14AF-F664724D6F9F}"/>
              </a:ext>
            </a:extLst>
          </xdr:cNvPr>
          <xdr:cNvSpPr/>
        </xdr:nvSpPr>
        <xdr:spPr>
          <a:xfrm>
            <a:off x="8773886" y="3483429"/>
            <a:ext cx="334839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8" name="직사각형 537">
            <a:extLst>
              <a:ext uri="{FF2B5EF4-FFF2-40B4-BE49-F238E27FC236}">
                <a16:creationId xmlns:a16="http://schemas.microsoft.com/office/drawing/2014/main" id="{A2A847A7-92A9-96D4-90A4-0963E8A8F16D}"/>
              </a:ext>
            </a:extLst>
          </xdr:cNvPr>
          <xdr:cNvSpPr/>
        </xdr:nvSpPr>
        <xdr:spPr>
          <a:xfrm>
            <a:off x="5735035" y="3483429"/>
            <a:ext cx="339194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70</xdr:col>
      <xdr:colOff>0</xdr:colOff>
      <xdr:row>34</xdr:row>
      <xdr:rowOff>0</xdr:rowOff>
    </xdr:from>
    <xdr:to>
      <xdr:col>95</xdr:col>
      <xdr:colOff>0</xdr:colOff>
      <xdr:row>34</xdr:row>
      <xdr:rowOff>224117</xdr:rowOff>
    </xdr:to>
    <xdr:sp macro="" textlink="">
      <xdr:nvSpPr>
        <xdr:cNvPr id="539" name="직사각형 538">
          <a:extLst>
            <a:ext uri="{FF2B5EF4-FFF2-40B4-BE49-F238E27FC236}">
              <a16:creationId xmlns:a16="http://schemas.microsoft.com/office/drawing/2014/main" id="{543FB3B8-1F33-4384-9B59-57D8A9632E72}"/>
            </a:ext>
          </a:extLst>
        </xdr:cNvPr>
        <xdr:cNvSpPr/>
      </xdr:nvSpPr>
      <xdr:spPr>
        <a:xfrm flipV="1">
          <a:off x="10668000" y="25603200"/>
          <a:ext cx="16668750" cy="224117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67</xdr:col>
      <xdr:colOff>0</xdr:colOff>
      <xdr:row>6</xdr:row>
      <xdr:rowOff>0</xdr:rowOff>
    </xdr:from>
    <xdr:to>
      <xdr:col>69</xdr:col>
      <xdr:colOff>0</xdr:colOff>
      <xdr:row>35</xdr:row>
      <xdr:rowOff>1</xdr:rowOff>
    </xdr:to>
    <xdr:sp macro="" textlink="">
      <xdr:nvSpPr>
        <xdr:cNvPr id="540" name="직사각형 539">
          <a:extLst>
            <a:ext uri="{FF2B5EF4-FFF2-40B4-BE49-F238E27FC236}">
              <a16:creationId xmlns:a16="http://schemas.microsoft.com/office/drawing/2014/main" id="{6A190A2F-C9FE-4EA0-99EA-FE3CE6F14525}"/>
            </a:ext>
          </a:extLst>
        </xdr:cNvPr>
        <xdr:cNvSpPr/>
      </xdr:nvSpPr>
      <xdr:spPr>
        <a:xfrm>
          <a:off x="30590836" y="1330036"/>
          <a:ext cx="1330037" cy="642851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85</xdr:col>
      <xdr:colOff>0</xdr:colOff>
      <xdr:row>94</xdr:row>
      <xdr:rowOff>217713</xdr:rowOff>
    </xdr:from>
    <xdr:to>
      <xdr:col>90</xdr:col>
      <xdr:colOff>6925</xdr:colOff>
      <xdr:row>102</xdr:row>
      <xdr:rowOff>0</xdr:rowOff>
    </xdr:to>
    <xdr:grpSp>
      <xdr:nvGrpSpPr>
        <xdr:cNvPr id="541" name="그룹 540">
          <a:extLst>
            <a:ext uri="{FF2B5EF4-FFF2-40B4-BE49-F238E27FC236}">
              <a16:creationId xmlns:a16="http://schemas.microsoft.com/office/drawing/2014/main" id="{C6D7626D-BAE3-4196-A447-5F372346458D}"/>
            </a:ext>
          </a:extLst>
        </xdr:cNvPr>
        <xdr:cNvGrpSpPr/>
      </xdr:nvGrpSpPr>
      <xdr:grpSpPr>
        <a:xfrm>
          <a:off x="57409773" y="21380531"/>
          <a:ext cx="3383970" cy="1583378"/>
          <a:chOff x="13095584" y="6887989"/>
          <a:chExt cx="3359401" cy="1550542"/>
        </a:xfrm>
      </xdr:grpSpPr>
      <xdr:sp macro="" textlink="">
        <xdr:nvSpPr>
          <xdr:cNvPr id="542" name="타원 541">
            <a:extLst>
              <a:ext uri="{FF2B5EF4-FFF2-40B4-BE49-F238E27FC236}">
                <a16:creationId xmlns:a16="http://schemas.microsoft.com/office/drawing/2014/main" id="{95BE4B8C-FCBC-965A-258D-8DB18835E3F1}"/>
              </a:ext>
            </a:extLst>
          </xdr:cNvPr>
          <xdr:cNvSpPr/>
        </xdr:nvSpPr>
        <xdr:spPr>
          <a:xfrm>
            <a:off x="15320008" y="7970999"/>
            <a:ext cx="463103" cy="444285"/>
          </a:xfrm>
          <a:prstGeom prst="ellipse">
            <a:avLst/>
          </a:prstGeom>
          <a:solidFill>
            <a:schemeClr val="bg1">
              <a:lumMod val="85000"/>
            </a:schemeClr>
          </a:solidFill>
          <a:ln w="762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3" name="타원 542">
            <a:extLst>
              <a:ext uri="{FF2B5EF4-FFF2-40B4-BE49-F238E27FC236}">
                <a16:creationId xmlns:a16="http://schemas.microsoft.com/office/drawing/2014/main" id="{5ED08F84-64A7-10AD-3A8C-21B6F2F7A58A}"/>
              </a:ext>
            </a:extLst>
          </xdr:cNvPr>
          <xdr:cNvSpPr/>
        </xdr:nvSpPr>
        <xdr:spPr>
          <a:xfrm>
            <a:off x="13768333" y="7994246"/>
            <a:ext cx="463103" cy="444285"/>
          </a:xfrm>
          <a:prstGeom prst="ellipse">
            <a:avLst/>
          </a:prstGeom>
          <a:solidFill>
            <a:schemeClr val="bg1">
              <a:lumMod val="85000"/>
            </a:schemeClr>
          </a:solidFill>
          <a:ln w="762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544" name="그룹 543">
            <a:extLst>
              <a:ext uri="{FF2B5EF4-FFF2-40B4-BE49-F238E27FC236}">
                <a16:creationId xmlns:a16="http://schemas.microsoft.com/office/drawing/2014/main" id="{975D224A-5225-C2A1-D92A-ED472F376497}"/>
              </a:ext>
            </a:extLst>
          </xdr:cNvPr>
          <xdr:cNvGrpSpPr/>
        </xdr:nvGrpSpPr>
        <xdr:grpSpPr>
          <a:xfrm>
            <a:off x="13095584" y="6887989"/>
            <a:ext cx="3359401" cy="1340917"/>
            <a:chOff x="10386713" y="5540991"/>
            <a:chExt cx="3349594" cy="1334124"/>
          </a:xfrm>
        </xdr:grpSpPr>
        <xdr:sp macro="" textlink="">
          <xdr:nvSpPr>
            <xdr:cNvPr id="545" name="직사각형 544">
              <a:extLst>
                <a:ext uri="{FF2B5EF4-FFF2-40B4-BE49-F238E27FC236}">
                  <a16:creationId xmlns:a16="http://schemas.microsoft.com/office/drawing/2014/main" id="{558E4F20-9FCB-CA7B-14A7-B0C62821DD77}"/>
                </a:ext>
              </a:extLst>
            </xdr:cNvPr>
            <xdr:cNvSpPr/>
          </xdr:nvSpPr>
          <xdr:spPr>
            <a:xfrm>
              <a:off x="11056632" y="6425391"/>
              <a:ext cx="2010335" cy="236891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546" name="그룹 545">
              <a:extLst>
                <a:ext uri="{FF2B5EF4-FFF2-40B4-BE49-F238E27FC236}">
                  <a16:creationId xmlns:a16="http://schemas.microsoft.com/office/drawing/2014/main" id="{F4AA8D24-7257-1546-0E6B-7DF24CA47F35}"/>
                </a:ext>
              </a:extLst>
            </xdr:cNvPr>
            <xdr:cNvGrpSpPr/>
          </xdr:nvGrpSpPr>
          <xdr:grpSpPr>
            <a:xfrm>
              <a:off x="10386713" y="5540991"/>
              <a:ext cx="3349594" cy="1334124"/>
              <a:chOff x="10373140" y="5469083"/>
              <a:chExt cx="3342858" cy="1313764"/>
            </a:xfrm>
          </xdr:grpSpPr>
          <xdr:sp macro="" textlink="">
            <xdr:nvSpPr>
              <xdr:cNvPr id="547" name="직사각형 546">
                <a:extLst>
                  <a:ext uri="{FF2B5EF4-FFF2-40B4-BE49-F238E27FC236}">
                    <a16:creationId xmlns:a16="http://schemas.microsoft.com/office/drawing/2014/main" id="{4E314B43-5F16-C624-5AC0-0A7BE694CD72}"/>
                  </a:ext>
                </a:extLst>
              </xdr:cNvPr>
              <xdr:cNvSpPr/>
            </xdr:nvSpPr>
            <xdr:spPr>
              <a:xfrm>
                <a:off x="10373140" y="5471904"/>
                <a:ext cx="668571" cy="1310943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548" name="직사각형 547">
                <a:extLst>
                  <a:ext uri="{FF2B5EF4-FFF2-40B4-BE49-F238E27FC236}">
                    <a16:creationId xmlns:a16="http://schemas.microsoft.com/office/drawing/2014/main" id="{A3B9D5B6-348C-45F7-99F3-8957CA174E57}"/>
                  </a:ext>
                </a:extLst>
              </xdr:cNvPr>
              <xdr:cNvSpPr/>
            </xdr:nvSpPr>
            <xdr:spPr>
              <a:xfrm>
                <a:off x="11042568" y="6557005"/>
                <a:ext cx="2004859" cy="218661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549" name="직사각형 548">
                <a:extLst>
                  <a:ext uri="{FF2B5EF4-FFF2-40B4-BE49-F238E27FC236}">
                    <a16:creationId xmlns:a16="http://schemas.microsoft.com/office/drawing/2014/main" id="{757BCFA0-1C6A-04FF-1D98-A129C0927FE8}"/>
                  </a:ext>
                </a:extLst>
              </xdr:cNvPr>
              <xdr:cNvSpPr/>
            </xdr:nvSpPr>
            <xdr:spPr>
              <a:xfrm>
                <a:off x="13047425" y="5469083"/>
                <a:ext cx="668573" cy="1310943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</xdr:grpSp>
    <xdr:clientData/>
  </xdr:twoCellAnchor>
  <xdr:twoCellAnchor>
    <xdr:from>
      <xdr:col>87</xdr:col>
      <xdr:colOff>0</xdr:colOff>
      <xdr:row>84</xdr:row>
      <xdr:rowOff>218660</xdr:rowOff>
    </xdr:from>
    <xdr:to>
      <xdr:col>88</xdr:col>
      <xdr:colOff>0</xdr:colOff>
      <xdr:row>112</xdr:row>
      <xdr:rowOff>0</xdr:rowOff>
    </xdr:to>
    <xdr:sp macro="" textlink="">
      <xdr:nvSpPr>
        <xdr:cNvPr id="550" name="사각형: 둥근 모서리 549">
          <a:extLst>
            <a:ext uri="{FF2B5EF4-FFF2-40B4-BE49-F238E27FC236}">
              <a16:creationId xmlns:a16="http://schemas.microsoft.com/office/drawing/2014/main" id="{09F8646F-B609-42A2-B362-897BFC93BCC8}"/>
            </a:ext>
          </a:extLst>
        </xdr:cNvPr>
        <xdr:cNvSpPr/>
      </xdr:nvSpPr>
      <xdr:spPr>
        <a:xfrm>
          <a:off x="44005500" y="10505660"/>
          <a:ext cx="666750" cy="6182140"/>
        </a:xfrm>
        <a:prstGeom prst="roundRect">
          <a:avLst/>
        </a:prstGeom>
        <a:noFill/>
        <a:ln w="165100"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90</xdr:col>
      <xdr:colOff>0</xdr:colOff>
      <xdr:row>102</xdr:row>
      <xdr:rowOff>216639</xdr:rowOff>
    </xdr:from>
    <xdr:to>
      <xdr:col>95</xdr:col>
      <xdr:colOff>0</xdr:colOff>
      <xdr:row>112</xdr:row>
      <xdr:rowOff>0</xdr:rowOff>
    </xdr:to>
    <xdr:grpSp>
      <xdr:nvGrpSpPr>
        <xdr:cNvPr id="551" name="그룹 550">
          <a:extLst>
            <a:ext uri="{FF2B5EF4-FFF2-40B4-BE49-F238E27FC236}">
              <a16:creationId xmlns:a16="http://schemas.microsoft.com/office/drawing/2014/main" id="{39B00C11-D66C-4C88-835F-C886C61EC950}"/>
            </a:ext>
          </a:extLst>
        </xdr:cNvPr>
        <xdr:cNvGrpSpPr/>
      </xdr:nvGrpSpPr>
      <xdr:grpSpPr>
        <a:xfrm>
          <a:off x="60786818" y="23180548"/>
          <a:ext cx="3377046" cy="2034725"/>
          <a:chOff x="19378246" y="7789747"/>
          <a:chExt cx="3341077" cy="2010745"/>
        </a:xfrm>
      </xdr:grpSpPr>
      <xdr:sp macro="" textlink="">
        <xdr:nvSpPr>
          <xdr:cNvPr id="552" name="직사각형 551">
            <a:extLst>
              <a:ext uri="{FF2B5EF4-FFF2-40B4-BE49-F238E27FC236}">
                <a16:creationId xmlns:a16="http://schemas.microsoft.com/office/drawing/2014/main" id="{74C9C897-C160-E043-FBC2-25575E5305F0}"/>
              </a:ext>
            </a:extLst>
          </xdr:cNvPr>
          <xdr:cNvSpPr/>
        </xdr:nvSpPr>
        <xdr:spPr>
          <a:xfrm>
            <a:off x="19378247" y="9577755"/>
            <a:ext cx="3341076" cy="222737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3" name="직사각형 552">
            <a:extLst>
              <a:ext uri="{FF2B5EF4-FFF2-40B4-BE49-F238E27FC236}">
                <a16:creationId xmlns:a16="http://schemas.microsoft.com/office/drawing/2014/main" id="{8E867890-5C2D-D314-3C52-4B2C4ACD50E6}"/>
              </a:ext>
            </a:extLst>
          </xdr:cNvPr>
          <xdr:cNvSpPr/>
        </xdr:nvSpPr>
        <xdr:spPr>
          <a:xfrm>
            <a:off x="19378246" y="7793789"/>
            <a:ext cx="334287" cy="2006703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4" name="직사각형 553">
            <a:extLst>
              <a:ext uri="{FF2B5EF4-FFF2-40B4-BE49-F238E27FC236}">
                <a16:creationId xmlns:a16="http://schemas.microsoft.com/office/drawing/2014/main" id="{49E85074-CC02-2A23-CE86-E2DCE7A8AFA1}"/>
              </a:ext>
            </a:extLst>
          </xdr:cNvPr>
          <xdr:cNvSpPr/>
        </xdr:nvSpPr>
        <xdr:spPr>
          <a:xfrm>
            <a:off x="22383886" y="7789747"/>
            <a:ext cx="335437" cy="2010745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70</xdr:col>
      <xdr:colOff>1</xdr:colOff>
      <xdr:row>84</xdr:row>
      <xdr:rowOff>0</xdr:rowOff>
    </xdr:from>
    <xdr:to>
      <xdr:col>75</xdr:col>
      <xdr:colOff>1</xdr:colOff>
      <xdr:row>112</xdr:row>
      <xdr:rowOff>0</xdr:rowOff>
    </xdr:to>
    <xdr:grpSp>
      <xdr:nvGrpSpPr>
        <xdr:cNvPr id="555" name="그룹 554">
          <a:extLst>
            <a:ext uri="{FF2B5EF4-FFF2-40B4-BE49-F238E27FC236}">
              <a16:creationId xmlns:a16="http://schemas.microsoft.com/office/drawing/2014/main" id="{AAB37EB6-8F20-4C73-8F14-B055B9BDBFAF}"/>
            </a:ext>
          </a:extLst>
        </xdr:cNvPr>
        <xdr:cNvGrpSpPr/>
      </xdr:nvGrpSpPr>
      <xdr:grpSpPr>
        <a:xfrm>
          <a:off x="47278637" y="18911455"/>
          <a:ext cx="3377046" cy="6303818"/>
          <a:chOff x="5739718" y="3483429"/>
          <a:chExt cx="3369007" cy="6096000"/>
        </a:xfrm>
      </xdr:grpSpPr>
      <xdr:sp macro="" textlink="">
        <xdr:nvSpPr>
          <xdr:cNvPr id="556" name="직사각형 555">
            <a:extLst>
              <a:ext uri="{FF2B5EF4-FFF2-40B4-BE49-F238E27FC236}">
                <a16:creationId xmlns:a16="http://schemas.microsoft.com/office/drawing/2014/main" id="{0A668BEB-ABB9-CE16-F6E2-13EF365F05F5}"/>
              </a:ext>
            </a:extLst>
          </xdr:cNvPr>
          <xdr:cNvSpPr/>
        </xdr:nvSpPr>
        <xdr:spPr>
          <a:xfrm>
            <a:off x="6072049" y="9355963"/>
            <a:ext cx="2694434" cy="223466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7" name="직사각형 556">
            <a:extLst>
              <a:ext uri="{FF2B5EF4-FFF2-40B4-BE49-F238E27FC236}">
                <a16:creationId xmlns:a16="http://schemas.microsoft.com/office/drawing/2014/main" id="{F7A2F669-FA60-4A71-ED58-2C4EE89793ED}"/>
              </a:ext>
            </a:extLst>
          </xdr:cNvPr>
          <xdr:cNvSpPr/>
        </xdr:nvSpPr>
        <xdr:spPr>
          <a:xfrm>
            <a:off x="6074447" y="7403368"/>
            <a:ext cx="2694434" cy="220303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8" name="직사각형 557">
            <a:extLst>
              <a:ext uri="{FF2B5EF4-FFF2-40B4-BE49-F238E27FC236}">
                <a16:creationId xmlns:a16="http://schemas.microsoft.com/office/drawing/2014/main" id="{0380B5E6-521E-BF01-6DCE-DCB833032B3D}"/>
              </a:ext>
            </a:extLst>
          </xdr:cNvPr>
          <xdr:cNvSpPr/>
        </xdr:nvSpPr>
        <xdr:spPr>
          <a:xfrm>
            <a:off x="6075313" y="5442857"/>
            <a:ext cx="2696398" cy="223465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9" name="직사각형 558">
            <a:extLst>
              <a:ext uri="{FF2B5EF4-FFF2-40B4-BE49-F238E27FC236}">
                <a16:creationId xmlns:a16="http://schemas.microsoft.com/office/drawing/2014/main" id="{E4D90E0C-EA06-B451-E1AB-15FCD59477F8}"/>
              </a:ext>
            </a:extLst>
          </xdr:cNvPr>
          <xdr:cNvSpPr/>
        </xdr:nvSpPr>
        <xdr:spPr>
          <a:xfrm>
            <a:off x="6074229" y="3483429"/>
            <a:ext cx="2699657" cy="221779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60" name="직사각형 559">
            <a:extLst>
              <a:ext uri="{FF2B5EF4-FFF2-40B4-BE49-F238E27FC236}">
                <a16:creationId xmlns:a16="http://schemas.microsoft.com/office/drawing/2014/main" id="{2F385E5E-481B-C3FA-E789-FC466758AE0A}"/>
              </a:ext>
            </a:extLst>
          </xdr:cNvPr>
          <xdr:cNvSpPr/>
        </xdr:nvSpPr>
        <xdr:spPr>
          <a:xfrm>
            <a:off x="8773886" y="3483429"/>
            <a:ext cx="334839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61" name="직사각형 560">
            <a:extLst>
              <a:ext uri="{FF2B5EF4-FFF2-40B4-BE49-F238E27FC236}">
                <a16:creationId xmlns:a16="http://schemas.microsoft.com/office/drawing/2014/main" id="{3A4FD811-F2CF-83B6-4EF7-6E2EC438F9F8}"/>
              </a:ext>
            </a:extLst>
          </xdr:cNvPr>
          <xdr:cNvSpPr/>
        </xdr:nvSpPr>
        <xdr:spPr>
          <a:xfrm>
            <a:off x="5739718" y="3483429"/>
            <a:ext cx="339194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75</xdr:col>
      <xdr:colOff>0</xdr:colOff>
      <xdr:row>84</xdr:row>
      <xdr:rowOff>0</xdr:rowOff>
    </xdr:from>
    <xdr:to>
      <xdr:col>80</xdr:col>
      <xdr:colOff>4659</xdr:colOff>
      <xdr:row>112</xdr:row>
      <xdr:rowOff>0</xdr:rowOff>
    </xdr:to>
    <xdr:grpSp>
      <xdr:nvGrpSpPr>
        <xdr:cNvPr id="562" name="그룹 561">
          <a:extLst>
            <a:ext uri="{FF2B5EF4-FFF2-40B4-BE49-F238E27FC236}">
              <a16:creationId xmlns:a16="http://schemas.microsoft.com/office/drawing/2014/main" id="{427A54AF-77A9-4421-A358-50E84A6F3F7C}"/>
            </a:ext>
          </a:extLst>
        </xdr:cNvPr>
        <xdr:cNvGrpSpPr/>
      </xdr:nvGrpSpPr>
      <xdr:grpSpPr>
        <a:xfrm>
          <a:off x="50655682" y="18911455"/>
          <a:ext cx="3381704" cy="6303818"/>
          <a:chOff x="5735035" y="3483429"/>
          <a:chExt cx="3373690" cy="6096000"/>
        </a:xfrm>
      </xdr:grpSpPr>
      <xdr:sp macro="" textlink="">
        <xdr:nvSpPr>
          <xdr:cNvPr id="563" name="직사각형 562">
            <a:extLst>
              <a:ext uri="{FF2B5EF4-FFF2-40B4-BE49-F238E27FC236}">
                <a16:creationId xmlns:a16="http://schemas.microsoft.com/office/drawing/2014/main" id="{6764C22F-C361-2CDE-EAAF-C68BE1B0F947}"/>
              </a:ext>
            </a:extLst>
          </xdr:cNvPr>
          <xdr:cNvSpPr/>
        </xdr:nvSpPr>
        <xdr:spPr>
          <a:xfrm>
            <a:off x="6072049" y="9355963"/>
            <a:ext cx="2694434" cy="223466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64" name="직사각형 563">
            <a:extLst>
              <a:ext uri="{FF2B5EF4-FFF2-40B4-BE49-F238E27FC236}">
                <a16:creationId xmlns:a16="http://schemas.microsoft.com/office/drawing/2014/main" id="{CA447D7B-16A9-2439-39EB-81D26B4A6F6B}"/>
              </a:ext>
            </a:extLst>
          </xdr:cNvPr>
          <xdr:cNvSpPr/>
        </xdr:nvSpPr>
        <xdr:spPr>
          <a:xfrm>
            <a:off x="6074447" y="7403368"/>
            <a:ext cx="2694434" cy="220303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65" name="직사각형 564">
            <a:extLst>
              <a:ext uri="{FF2B5EF4-FFF2-40B4-BE49-F238E27FC236}">
                <a16:creationId xmlns:a16="http://schemas.microsoft.com/office/drawing/2014/main" id="{C2AAF9F1-FE51-72A0-1EE7-8F665A77A264}"/>
              </a:ext>
            </a:extLst>
          </xdr:cNvPr>
          <xdr:cNvSpPr/>
        </xdr:nvSpPr>
        <xdr:spPr>
          <a:xfrm>
            <a:off x="6075313" y="5442857"/>
            <a:ext cx="2696398" cy="223465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66" name="직사각형 565">
            <a:extLst>
              <a:ext uri="{FF2B5EF4-FFF2-40B4-BE49-F238E27FC236}">
                <a16:creationId xmlns:a16="http://schemas.microsoft.com/office/drawing/2014/main" id="{EC3A8138-965F-FC50-CE58-42F4F099A18C}"/>
              </a:ext>
            </a:extLst>
          </xdr:cNvPr>
          <xdr:cNvSpPr/>
        </xdr:nvSpPr>
        <xdr:spPr>
          <a:xfrm>
            <a:off x="6074229" y="3483429"/>
            <a:ext cx="2699657" cy="221779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67" name="직사각형 566">
            <a:extLst>
              <a:ext uri="{FF2B5EF4-FFF2-40B4-BE49-F238E27FC236}">
                <a16:creationId xmlns:a16="http://schemas.microsoft.com/office/drawing/2014/main" id="{C58A3737-BF06-5D48-97A4-FB7072CEF261}"/>
              </a:ext>
            </a:extLst>
          </xdr:cNvPr>
          <xdr:cNvSpPr/>
        </xdr:nvSpPr>
        <xdr:spPr>
          <a:xfrm>
            <a:off x="8773886" y="3483429"/>
            <a:ext cx="334839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68" name="직사각형 567">
            <a:extLst>
              <a:ext uri="{FF2B5EF4-FFF2-40B4-BE49-F238E27FC236}">
                <a16:creationId xmlns:a16="http://schemas.microsoft.com/office/drawing/2014/main" id="{6A7156D5-CDB8-E7B4-6220-75352B54DAF2}"/>
              </a:ext>
            </a:extLst>
          </xdr:cNvPr>
          <xdr:cNvSpPr/>
        </xdr:nvSpPr>
        <xdr:spPr>
          <a:xfrm>
            <a:off x="5735035" y="3483429"/>
            <a:ext cx="339194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79</xdr:col>
      <xdr:colOff>662940</xdr:colOff>
      <xdr:row>84</xdr:row>
      <xdr:rowOff>0</xdr:rowOff>
    </xdr:from>
    <xdr:to>
      <xdr:col>84</xdr:col>
      <xdr:colOff>662058</xdr:colOff>
      <xdr:row>112</xdr:row>
      <xdr:rowOff>0</xdr:rowOff>
    </xdr:to>
    <xdr:grpSp>
      <xdr:nvGrpSpPr>
        <xdr:cNvPr id="569" name="그룹 568">
          <a:extLst>
            <a:ext uri="{FF2B5EF4-FFF2-40B4-BE49-F238E27FC236}">
              <a16:creationId xmlns:a16="http://schemas.microsoft.com/office/drawing/2014/main" id="{7CBD7CE9-E027-4328-938E-4253FF3E5D34}"/>
            </a:ext>
          </a:extLst>
        </xdr:cNvPr>
        <xdr:cNvGrpSpPr/>
      </xdr:nvGrpSpPr>
      <xdr:grpSpPr>
        <a:xfrm>
          <a:off x="54020258" y="18911455"/>
          <a:ext cx="3376164" cy="6303818"/>
          <a:chOff x="5735035" y="3483429"/>
          <a:chExt cx="3373690" cy="6096000"/>
        </a:xfrm>
      </xdr:grpSpPr>
      <xdr:sp macro="" textlink="">
        <xdr:nvSpPr>
          <xdr:cNvPr id="570" name="직사각형 569">
            <a:extLst>
              <a:ext uri="{FF2B5EF4-FFF2-40B4-BE49-F238E27FC236}">
                <a16:creationId xmlns:a16="http://schemas.microsoft.com/office/drawing/2014/main" id="{68683D96-5297-F48B-2A0C-A9E117D24344}"/>
              </a:ext>
            </a:extLst>
          </xdr:cNvPr>
          <xdr:cNvSpPr/>
        </xdr:nvSpPr>
        <xdr:spPr>
          <a:xfrm>
            <a:off x="6072049" y="9355963"/>
            <a:ext cx="2694434" cy="223466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71" name="직사각형 570">
            <a:extLst>
              <a:ext uri="{FF2B5EF4-FFF2-40B4-BE49-F238E27FC236}">
                <a16:creationId xmlns:a16="http://schemas.microsoft.com/office/drawing/2014/main" id="{9FD50A74-4040-0351-8BE6-134D5591A1B6}"/>
              </a:ext>
            </a:extLst>
          </xdr:cNvPr>
          <xdr:cNvSpPr/>
        </xdr:nvSpPr>
        <xdr:spPr>
          <a:xfrm>
            <a:off x="6074447" y="7403368"/>
            <a:ext cx="2694434" cy="220303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72" name="직사각형 571">
            <a:extLst>
              <a:ext uri="{FF2B5EF4-FFF2-40B4-BE49-F238E27FC236}">
                <a16:creationId xmlns:a16="http://schemas.microsoft.com/office/drawing/2014/main" id="{A17D3D72-F4A5-46D6-A24E-F5ECC8BEA910}"/>
              </a:ext>
            </a:extLst>
          </xdr:cNvPr>
          <xdr:cNvSpPr/>
        </xdr:nvSpPr>
        <xdr:spPr>
          <a:xfrm>
            <a:off x="6075313" y="5442857"/>
            <a:ext cx="2696398" cy="223465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73" name="직사각형 572">
            <a:extLst>
              <a:ext uri="{FF2B5EF4-FFF2-40B4-BE49-F238E27FC236}">
                <a16:creationId xmlns:a16="http://schemas.microsoft.com/office/drawing/2014/main" id="{43E2CE7F-7E04-774A-8404-FF2978547602}"/>
              </a:ext>
            </a:extLst>
          </xdr:cNvPr>
          <xdr:cNvSpPr/>
        </xdr:nvSpPr>
        <xdr:spPr>
          <a:xfrm>
            <a:off x="6074229" y="3483429"/>
            <a:ext cx="2699657" cy="221779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74" name="직사각형 573">
            <a:extLst>
              <a:ext uri="{FF2B5EF4-FFF2-40B4-BE49-F238E27FC236}">
                <a16:creationId xmlns:a16="http://schemas.microsoft.com/office/drawing/2014/main" id="{AF446DB0-E8D0-7DF5-73E4-88FB4D3B0E9B}"/>
              </a:ext>
            </a:extLst>
          </xdr:cNvPr>
          <xdr:cNvSpPr/>
        </xdr:nvSpPr>
        <xdr:spPr>
          <a:xfrm>
            <a:off x="8773886" y="3483429"/>
            <a:ext cx="334839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75" name="직사각형 574">
            <a:extLst>
              <a:ext uri="{FF2B5EF4-FFF2-40B4-BE49-F238E27FC236}">
                <a16:creationId xmlns:a16="http://schemas.microsoft.com/office/drawing/2014/main" id="{928C5BDF-8D02-3010-53C2-184683C1DB60}"/>
              </a:ext>
            </a:extLst>
          </xdr:cNvPr>
          <xdr:cNvSpPr/>
        </xdr:nvSpPr>
        <xdr:spPr>
          <a:xfrm>
            <a:off x="5735035" y="3483429"/>
            <a:ext cx="339194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85</xdr:col>
      <xdr:colOff>337896</xdr:colOff>
      <xdr:row>101</xdr:row>
      <xdr:rowOff>211962</xdr:rowOff>
    </xdr:from>
    <xdr:to>
      <xdr:col>89</xdr:col>
      <xdr:colOff>332673</xdr:colOff>
      <xdr:row>103</xdr:row>
      <xdr:rowOff>0</xdr:rowOff>
    </xdr:to>
    <xdr:sp macro="" textlink="">
      <xdr:nvSpPr>
        <xdr:cNvPr id="577" name="직사각형 576">
          <a:extLst>
            <a:ext uri="{FF2B5EF4-FFF2-40B4-BE49-F238E27FC236}">
              <a16:creationId xmlns:a16="http://schemas.microsoft.com/office/drawing/2014/main" id="{178E9B21-CB3B-47C3-AC11-3EBFF36C1F8F}"/>
            </a:ext>
          </a:extLst>
        </xdr:cNvPr>
        <xdr:cNvSpPr/>
      </xdr:nvSpPr>
      <xdr:spPr>
        <a:xfrm>
          <a:off x="43532410" y="22211991"/>
          <a:ext cx="2694434" cy="223466"/>
        </a:xfrm>
        <a:prstGeom prst="rect">
          <a:avLst/>
        </a:prstGeom>
        <a:ln w="57150">
          <a:solidFill>
            <a:schemeClr val="tx1">
              <a:lumMod val="65000"/>
              <a:lumOff val="3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85</xdr:col>
      <xdr:colOff>340076</xdr:colOff>
      <xdr:row>84</xdr:row>
      <xdr:rowOff>0</xdr:rowOff>
    </xdr:from>
    <xdr:to>
      <xdr:col>89</xdr:col>
      <xdr:colOff>340076</xdr:colOff>
      <xdr:row>85</xdr:row>
      <xdr:rowOff>4065</xdr:rowOff>
    </xdr:to>
    <xdr:sp macro="" textlink="">
      <xdr:nvSpPr>
        <xdr:cNvPr id="578" name="직사각형 577">
          <a:extLst>
            <a:ext uri="{FF2B5EF4-FFF2-40B4-BE49-F238E27FC236}">
              <a16:creationId xmlns:a16="http://schemas.microsoft.com/office/drawing/2014/main" id="{0CAD2D79-ACF6-D36D-E567-C43D962BE685}"/>
            </a:ext>
          </a:extLst>
        </xdr:cNvPr>
        <xdr:cNvSpPr/>
      </xdr:nvSpPr>
      <xdr:spPr>
        <a:xfrm>
          <a:off x="43534590" y="18298886"/>
          <a:ext cx="2699657" cy="221779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89</xdr:col>
      <xdr:colOff>340076</xdr:colOff>
      <xdr:row>84</xdr:row>
      <xdr:rowOff>0</xdr:rowOff>
    </xdr:from>
    <xdr:to>
      <xdr:col>90</xdr:col>
      <xdr:colOff>0</xdr:colOff>
      <xdr:row>112</xdr:row>
      <xdr:rowOff>0</xdr:rowOff>
    </xdr:to>
    <xdr:sp macro="" textlink="">
      <xdr:nvSpPr>
        <xdr:cNvPr id="579" name="직사각형 578">
          <a:extLst>
            <a:ext uri="{FF2B5EF4-FFF2-40B4-BE49-F238E27FC236}">
              <a16:creationId xmlns:a16="http://schemas.microsoft.com/office/drawing/2014/main" id="{4F7459B4-0C12-81DC-0011-71AAA892C903}"/>
            </a:ext>
          </a:extLst>
        </xdr:cNvPr>
        <xdr:cNvSpPr/>
      </xdr:nvSpPr>
      <xdr:spPr>
        <a:xfrm>
          <a:off x="46234247" y="18298886"/>
          <a:ext cx="334839" cy="609600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85</xdr:col>
      <xdr:colOff>882</xdr:colOff>
      <xdr:row>84</xdr:row>
      <xdr:rowOff>0</xdr:rowOff>
    </xdr:from>
    <xdr:to>
      <xdr:col>85</xdr:col>
      <xdr:colOff>340076</xdr:colOff>
      <xdr:row>112</xdr:row>
      <xdr:rowOff>0</xdr:rowOff>
    </xdr:to>
    <xdr:sp macro="" textlink="">
      <xdr:nvSpPr>
        <xdr:cNvPr id="580" name="직사각형 579">
          <a:extLst>
            <a:ext uri="{FF2B5EF4-FFF2-40B4-BE49-F238E27FC236}">
              <a16:creationId xmlns:a16="http://schemas.microsoft.com/office/drawing/2014/main" id="{07216F01-753C-1949-CF79-40245E778E22}"/>
            </a:ext>
          </a:extLst>
        </xdr:cNvPr>
        <xdr:cNvSpPr/>
      </xdr:nvSpPr>
      <xdr:spPr>
        <a:xfrm>
          <a:off x="43195396" y="18298886"/>
          <a:ext cx="339194" cy="609600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70</xdr:col>
      <xdr:colOff>0</xdr:colOff>
      <xdr:row>112</xdr:row>
      <xdr:rowOff>0</xdr:rowOff>
    </xdr:from>
    <xdr:to>
      <xdr:col>95</xdr:col>
      <xdr:colOff>0</xdr:colOff>
      <xdr:row>112</xdr:row>
      <xdr:rowOff>224117</xdr:rowOff>
    </xdr:to>
    <xdr:sp macro="" textlink="">
      <xdr:nvSpPr>
        <xdr:cNvPr id="581" name="직사각형 580">
          <a:extLst>
            <a:ext uri="{FF2B5EF4-FFF2-40B4-BE49-F238E27FC236}">
              <a16:creationId xmlns:a16="http://schemas.microsoft.com/office/drawing/2014/main" id="{61D2AE68-974C-45C9-807A-4CF138F4F290}"/>
            </a:ext>
          </a:extLst>
        </xdr:cNvPr>
        <xdr:cNvSpPr/>
      </xdr:nvSpPr>
      <xdr:spPr>
        <a:xfrm flipV="1">
          <a:off x="32670750" y="16687800"/>
          <a:ext cx="16668750" cy="224117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67</xdr:col>
      <xdr:colOff>0</xdr:colOff>
      <xdr:row>84</xdr:row>
      <xdr:rowOff>0</xdr:rowOff>
    </xdr:from>
    <xdr:to>
      <xdr:col>69</xdr:col>
      <xdr:colOff>0</xdr:colOff>
      <xdr:row>113</xdr:row>
      <xdr:rowOff>1</xdr:rowOff>
    </xdr:to>
    <xdr:sp macro="" textlink="">
      <xdr:nvSpPr>
        <xdr:cNvPr id="582" name="직사각형 581">
          <a:extLst>
            <a:ext uri="{FF2B5EF4-FFF2-40B4-BE49-F238E27FC236}">
              <a16:creationId xmlns:a16="http://schemas.microsoft.com/office/drawing/2014/main" id="{D90AE5CB-91CF-4BE5-8BBF-B9BDEC0B423F}"/>
            </a:ext>
          </a:extLst>
        </xdr:cNvPr>
        <xdr:cNvSpPr/>
      </xdr:nvSpPr>
      <xdr:spPr>
        <a:xfrm>
          <a:off x="30670500" y="10287000"/>
          <a:ext cx="1333500" cy="6629401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70</xdr:col>
      <xdr:colOff>0</xdr:colOff>
      <xdr:row>134</xdr:row>
      <xdr:rowOff>0</xdr:rowOff>
    </xdr:from>
    <xdr:to>
      <xdr:col>75</xdr:col>
      <xdr:colOff>6925</xdr:colOff>
      <xdr:row>141</xdr:row>
      <xdr:rowOff>1</xdr:rowOff>
    </xdr:to>
    <xdr:grpSp>
      <xdr:nvGrpSpPr>
        <xdr:cNvPr id="583" name="그룹 582">
          <a:extLst>
            <a:ext uri="{FF2B5EF4-FFF2-40B4-BE49-F238E27FC236}">
              <a16:creationId xmlns:a16="http://schemas.microsoft.com/office/drawing/2014/main" id="{9FC742D7-C4B2-47CA-BB9F-528966F8DF2A}"/>
            </a:ext>
          </a:extLst>
        </xdr:cNvPr>
        <xdr:cNvGrpSpPr/>
      </xdr:nvGrpSpPr>
      <xdr:grpSpPr>
        <a:xfrm>
          <a:off x="47278636" y="30168273"/>
          <a:ext cx="3383971" cy="1575955"/>
          <a:chOff x="13095584" y="6887989"/>
          <a:chExt cx="3359401" cy="1550542"/>
        </a:xfrm>
      </xdr:grpSpPr>
      <xdr:sp macro="" textlink="">
        <xdr:nvSpPr>
          <xdr:cNvPr id="584" name="타원 583">
            <a:extLst>
              <a:ext uri="{FF2B5EF4-FFF2-40B4-BE49-F238E27FC236}">
                <a16:creationId xmlns:a16="http://schemas.microsoft.com/office/drawing/2014/main" id="{454A6C7A-3E5D-1829-2793-B6362BDE5E9D}"/>
              </a:ext>
            </a:extLst>
          </xdr:cNvPr>
          <xdr:cNvSpPr/>
        </xdr:nvSpPr>
        <xdr:spPr>
          <a:xfrm>
            <a:off x="15320008" y="7970999"/>
            <a:ext cx="463103" cy="444285"/>
          </a:xfrm>
          <a:prstGeom prst="ellipse">
            <a:avLst/>
          </a:prstGeom>
          <a:solidFill>
            <a:schemeClr val="bg1">
              <a:lumMod val="85000"/>
            </a:schemeClr>
          </a:solidFill>
          <a:ln w="762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5" name="타원 584">
            <a:extLst>
              <a:ext uri="{FF2B5EF4-FFF2-40B4-BE49-F238E27FC236}">
                <a16:creationId xmlns:a16="http://schemas.microsoft.com/office/drawing/2014/main" id="{0D3E039C-9073-A8F9-6156-62C3C5AAC993}"/>
              </a:ext>
            </a:extLst>
          </xdr:cNvPr>
          <xdr:cNvSpPr/>
        </xdr:nvSpPr>
        <xdr:spPr>
          <a:xfrm>
            <a:off x="13768333" y="7994246"/>
            <a:ext cx="463103" cy="444285"/>
          </a:xfrm>
          <a:prstGeom prst="ellipse">
            <a:avLst/>
          </a:prstGeom>
          <a:solidFill>
            <a:schemeClr val="bg1">
              <a:lumMod val="85000"/>
            </a:schemeClr>
          </a:solidFill>
          <a:ln w="762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586" name="그룹 585">
            <a:extLst>
              <a:ext uri="{FF2B5EF4-FFF2-40B4-BE49-F238E27FC236}">
                <a16:creationId xmlns:a16="http://schemas.microsoft.com/office/drawing/2014/main" id="{B1A1AEEE-DD57-ED5F-8015-7118096E64F6}"/>
              </a:ext>
            </a:extLst>
          </xdr:cNvPr>
          <xdr:cNvGrpSpPr/>
        </xdr:nvGrpSpPr>
        <xdr:grpSpPr>
          <a:xfrm>
            <a:off x="13095584" y="6887989"/>
            <a:ext cx="3359401" cy="1340917"/>
            <a:chOff x="10386713" y="5540991"/>
            <a:chExt cx="3349594" cy="1334124"/>
          </a:xfrm>
        </xdr:grpSpPr>
        <xdr:sp macro="" textlink="">
          <xdr:nvSpPr>
            <xdr:cNvPr id="587" name="직사각형 586">
              <a:extLst>
                <a:ext uri="{FF2B5EF4-FFF2-40B4-BE49-F238E27FC236}">
                  <a16:creationId xmlns:a16="http://schemas.microsoft.com/office/drawing/2014/main" id="{61690E8F-BC6F-2963-C387-3809F7182E49}"/>
                </a:ext>
              </a:extLst>
            </xdr:cNvPr>
            <xdr:cNvSpPr/>
          </xdr:nvSpPr>
          <xdr:spPr>
            <a:xfrm>
              <a:off x="11056632" y="6425391"/>
              <a:ext cx="2010335" cy="236891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588" name="그룹 587">
              <a:extLst>
                <a:ext uri="{FF2B5EF4-FFF2-40B4-BE49-F238E27FC236}">
                  <a16:creationId xmlns:a16="http://schemas.microsoft.com/office/drawing/2014/main" id="{A778F32D-122F-90D6-54CC-F639D686F621}"/>
                </a:ext>
              </a:extLst>
            </xdr:cNvPr>
            <xdr:cNvGrpSpPr/>
          </xdr:nvGrpSpPr>
          <xdr:grpSpPr>
            <a:xfrm>
              <a:off x="10386713" y="5540991"/>
              <a:ext cx="3349594" cy="1334124"/>
              <a:chOff x="10373140" y="5469083"/>
              <a:chExt cx="3342858" cy="1313764"/>
            </a:xfrm>
          </xdr:grpSpPr>
          <xdr:sp macro="" textlink="">
            <xdr:nvSpPr>
              <xdr:cNvPr id="589" name="직사각형 588">
                <a:extLst>
                  <a:ext uri="{FF2B5EF4-FFF2-40B4-BE49-F238E27FC236}">
                    <a16:creationId xmlns:a16="http://schemas.microsoft.com/office/drawing/2014/main" id="{A24CA179-3AAB-A15B-77A2-E095B89F54DE}"/>
                  </a:ext>
                </a:extLst>
              </xdr:cNvPr>
              <xdr:cNvSpPr/>
            </xdr:nvSpPr>
            <xdr:spPr>
              <a:xfrm>
                <a:off x="10373140" y="5471904"/>
                <a:ext cx="668571" cy="1310943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590" name="직사각형 589">
                <a:extLst>
                  <a:ext uri="{FF2B5EF4-FFF2-40B4-BE49-F238E27FC236}">
                    <a16:creationId xmlns:a16="http://schemas.microsoft.com/office/drawing/2014/main" id="{A4D45163-B709-57AA-7667-F4422A648586}"/>
                  </a:ext>
                </a:extLst>
              </xdr:cNvPr>
              <xdr:cNvSpPr/>
            </xdr:nvSpPr>
            <xdr:spPr>
              <a:xfrm>
                <a:off x="11042568" y="6557005"/>
                <a:ext cx="2004859" cy="218661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591" name="직사각형 590">
                <a:extLst>
                  <a:ext uri="{FF2B5EF4-FFF2-40B4-BE49-F238E27FC236}">
                    <a16:creationId xmlns:a16="http://schemas.microsoft.com/office/drawing/2014/main" id="{20AC72C6-3E63-BCF6-6C27-BD39F74A1A3E}"/>
                  </a:ext>
                </a:extLst>
              </xdr:cNvPr>
              <xdr:cNvSpPr/>
            </xdr:nvSpPr>
            <xdr:spPr>
              <a:xfrm>
                <a:off x="13047425" y="5469083"/>
                <a:ext cx="668573" cy="1310943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</xdr:grpSp>
    <xdr:clientData/>
  </xdr:twoCellAnchor>
  <xdr:twoCellAnchor>
    <xdr:from>
      <xdr:col>87</xdr:col>
      <xdr:colOff>0</xdr:colOff>
      <xdr:row>123</xdr:row>
      <xdr:rowOff>218660</xdr:rowOff>
    </xdr:from>
    <xdr:to>
      <xdr:col>88</xdr:col>
      <xdr:colOff>0</xdr:colOff>
      <xdr:row>151</xdr:row>
      <xdr:rowOff>0</xdr:rowOff>
    </xdr:to>
    <xdr:sp macro="" textlink="">
      <xdr:nvSpPr>
        <xdr:cNvPr id="592" name="사각형: 둥근 모서리 591">
          <a:extLst>
            <a:ext uri="{FF2B5EF4-FFF2-40B4-BE49-F238E27FC236}">
              <a16:creationId xmlns:a16="http://schemas.microsoft.com/office/drawing/2014/main" id="{DC73750A-DB45-49C4-9366-4C885EFB5BC2}"/>
            </a:ext>
          </a:extLst>
        </xdr:cNvPr>
        <xdr:cNvSpPr/>
      </xdr:nvSpPr>
      <xdr:spPr>
        <a:xfrm>
          <a:off x="44005500" y="10505660"/>
          <a:ext cx="666750" cy="6182140"/>
        </a:xfrm>
        <a:prstGeom prst="roundRect">
          <a:avLst/>
        </a:prstGeom>
        <a:noFill/>
        <a:ln w="165100"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90</xdr:col>
      <xdr:colOff>0</xdr:colOff>
      <xdr:row>141</xdr:row>
      <xdr:rowOff>216639</xdr:rowOff>
    </xdr:from>
    <xdr:to>
      <xdr:col>95</xdr:col>
      <xdr:colOff>0</xdr:colOff>
      <xdr:row>151</xdr:row>
      <xdr:rowOff>0</xdr:rowOff>
    </xdr:to>
    <xdr:grpSp>
      <xdr:nvGrpSpPr>
        <xdr:cNvPr id="593" name="그룹 592">
          <a:extLst>
            <a:ext uri="{FF2B5EF4-FFF2-40B4-BE49-F238E27FC236}">
              <a16:creationId xmlns:a16="http://schemas.microsoft.com/office/drawing/2014/main" id="{4148F958-192C-47D8-A463-6FE59BE9D9BC}"/>
            </a:ext>
          </a:extLst>
        </xdr:cNvPr>
        <xdr:cNvGrpSpPr/>
      </xdr:nvGrpSpPr>
      <xdr:grpSpPr>
        <a:xfrm>
          <a:off x="60786818" y="31960866"/>
          <a:ext cx="3377046" cy="2034725"/>
          <a:chOff x="19378246" y="7789747"/>
          <a:chExt cx="3341077" cy="2010745"/>
        </a:xfrm>
      </xdr:grpSpPr>
      <xdr:sp macro="" textlink="">
        <xdr:nvSpPr>
          <xdr:cNvPr id="594" name="직사각형 593">
            <a:extLst>
              <a:ext uri="{FF2B5EF4-FFF2-40B4-BE49-F238E27FC236}">
                <a16:creationId xmlns:a16="http://schemas.microsoft.com/office/drawing/2014/main" id="{FFC1109B-FB1C-95E3-4216-973CF699AE0E}"/>
              </a:ext>
            </a:extLst>
          </xdr:cNvPr>
          <xdr:cNvSpPr/>
        </xdr:nvSpPr>
        <xdr:spPr>
          <a:xfrm>
            <a:off x="19378247" y="9577755"/>
            <a:ext cx="3341076" cy="222737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5" name="직사각형 594">
            <a:extLst>
              <a:ext uri="{FF2B5EF4-FFF2-40B4-BE49-F238E27FC236}">
                <a16:creationId xmlns:a16="http://schemas.microsoft.com/office/drawing/2014/main" id="{DDAE2D1D-7841-32B7-F099-A2AD93EAB030}"/>
              </a:ext>
            </a:extLst>
          </xdr:cNvPr>
          <xdr:cNvSpPr/>
        </xdr:nvSpPr>
        <xdr:spPr>
          <a:xfrm>
            <a:off x="19378246" y="7793789"/>
            <a:ext cx="334287" cy="2006703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6" name="직사각형 595">
            <a:extLst>
              <a:ext uri="{FF2B5EF4-FFF2-40B4-BE49-F238E27FC236}">
                <a16:creationId xmlns:a16="http://schemas.microsoft.com/office/drawing/2014/main" id="{A4567270-4007-41CD-C2A0-BC982DE1550D}"/>
              </a:ext>
            </a:extLst>
          </xdr:cNvPr>
          <xdr:cNvSpPr/>
        </xdr:nvSpPr>
        <xdr:spPr>
          <a:xfrm>
            <a:off x="22383886" y="7789747"/>
            <a:ext cx="335437" cy="2010745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70</xdr:col>
      <xdr:colOff>1</xdr:colOff>
      <xdr:row>123</xdr:row>
      <xdr:rowOff>0</xdr:rowOff>
    </xdr:from>
    <xdr:to>
      <xdr:col>75</xdr:col>
      <xdr:colOff>1</xdr:colOff>
      <xdr:row>151</xdr:row>
      <xdr:rowOff>0</xdr:rowOff>
    </xdr:to>
    <xdr:grpSp>
      <xdr:nvGrpSpPr>
        <xdr:cNvPr id="597" name="그룹 596">
          <a:extLst>
            <a:ext uri="{FF2B5EF4-FFF2-40B4-BE49-F238E27FC236}">
              <a16:creationId xmlns:a16="http://schemas.microsoft.com/office/drawing/2014/main" id="{0C6660F2-71ED-421F-A77C-3192A0DCBA1D}"/>
            </a:ext>
          </a:extLst>
        </xdr:cNvPr>
        <xdr:cNvGrpSpPr/>
      </xdr:nvGrpSpPr>
      <xdr:grpSpPr>
        <a:xfrm>
          <a:off x="47278637" y="27691773"/>
          <a:ext cx="3377046" cy="6303818"/>
          <a:chOff x="5739718" y="3483429"/>
          <a:chExt cx="3369007" cy="6096000"/>
        </a:xfrm>
      </xdr:grpSpPr>
      <xdr:sp macro="" textlink="">
        <xdr:nvSpPr>
          <xdr:cNvPr id="598" name="직사각형 597">
            <a:extLst>
              <a:ext uri="{FF2B5EF4-FFF2-40B4-BE49-F238E27FC236}">
                <a16:creationId xmlns:a16="http://schemas.microsoft.com/office/drawing/2014/main" id="{63F5279F-B32B-52D1-A681-2C36DA84FF9F}"/>
              </a:ext>
            </a:extLst>
          </xdr:cNvPr>
          <xdr:cNvSpPr/>
        </xdr:nvSpPr>
        <xdr:spPr>
          <a:xfrm>
            <a:off x="6072049" y="9355963"/>
            <a:ext cx="2694434" cy="223466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9" name="직사각형 598">
            <a:extLst>
              <a:ext uri="{FF2B5EF4-FFF2-40B4-BE49-F238E27FC236}">
                <a16:creationId xmlns:a16="http://schemas.microsoft.com/office/drawing/2014/main" id="{59675364-7AF3-26CE-CDD3-FF5905FA398C}"/>
              </a:ext>
            </a:extLst>
          </xdr:cNvPr>
          <xdr:cNvSpPr/>
        </xdr:nvSpPr>
        <xdr:spPr>
          <a:xfrm>
            <a:off x="6074447" y="7403368"/>
            <a:ext cx="2694434" cy="220303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0" name="직사각형 599">
            <a:extLst>
              <a:ext uri="{FF2B5EF4-FFF2-40B4-BE49-F238E27FC236}">
                <a16:creationId xmlns:a16="http://schemas.microsoft.com/office/drawing/2014/main" id="{FCC4AC47-30CE-AF65-040A-C7E53103B1BC}"/>
              </a:ext>
            </a:extLst>
          </xdr:cNvPr>
          <xdr:cNvSpPr/>
        </xdr:nvSpPr>
        <xdr:spPr>
          <a:xfrm>
            <a:off x="6075313" y="5442857"/>
            <a:ext cx="2696398" cy="223465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1" name="직사각형 600">
            <a:extLst>
              <a:ext uri="{FF2B5EF4-FFF2-40B4-BE49-F238E27FC236}">
                <a16:creationId xmlns:a16="http://schemas.microsoft.com/office/drawing/2014/main" id="{4F29EFE1-A63B-6944-615F-FD96995AD6B1}"/>
              </a:ext>
            </a:extLst>
          </xdr:cNvPr>
          <xdr:cNvSpPr/>
        </xdr:nvSpPr>
        <xdr:spPr>
          <a:xfrm>
            <a:off x="6074229" y="3483429"/>
            <a:ext cx="2699657" cy="221779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2" name="직사각형 601">
            <a:extLst>
              <a:ext uri="{FF2B5EF4-FFF2-40B4-BE49-F238E27FC236}">
                <a16:creationId xmlns:a16="http://schemas.microsoft.com/office/drawing/2014/main" id="{06E18B65-003D-5FAA-9129-8B56F8466B6D}"/>
              </a:ext>
            </a:extLst>
          </xdr:cNvPr>
          <xdr:cNvSpPr/>
        </xdr:nvSpPr>
        <xdr:spPr>
          <a:xfrm>
            <a:off x="8773886" y="3483429"/>
            <a:ext cx="334839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3" name="직사각형 602">
            <a:extLst>
              <a:ext uri="{FF2B5EF4-FFF2-40B4-BE49-F238E27FC236}">
                <a16:creationId xmlns:a16="http://schemas.microsoft.com/office/drawing/2014/main" id="{C86C1C6B-9698-3A65-4BB8-046BBDD2BFBB}"/>
              </a:ext>
            </a:extLst>
          </xdr:cNvPr>
          <xdr:cNvSpPr/>
        </xdr:nvSpPr>
        <xdr:spPr>
          <a:xfrm>
            <a:off x="5739718" y="3483429"/>
            <a:ext cx="339194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75</xdr:col>
      <xdr:colOff>0</xdr:colOff>
      <xdr:row>123</xdr:row>
      <xdr:rowOff>0</xdr:rowOff>
    </xdr:from>
    <xdr:to>
      <xdr:col>80</xdr:col>
      <xdr:colOff>4659</xdr:colOff>
      <xdr:row>151</xdr:row>
      <xdr:rowOff>0</xdr:rowOff>
    </xdr:to>
    <xdr:grpSp>
      <xdr:nvGrpSpPr>
        <xdr:cNvPr id="604" name="그룹 603">
          <a:extLst>
            <a:ext uri="{FF2B5EF4-FFF2-40B4-BE49-F238E27FC236}">
              <a16:creationId xmlns:a16="http://schemas.microsoft.com/office/drawing/2014/main" id="{545E9C43-7375-4DFC-A828-7BBDD5879922}"/>
            </a:ext>
          </a:extLst>
        </xdr:cNvPr>
        <xdr:cNvGrpSpPr/>
      </xdr:nvGrpSpPr>
      <xdr:grpSpPr>
        <a:xfrm>
          <a:off x="50655682" y="27691773"/>
          <a:ext cx="3381704" cy="6303818"/>
          <a:chOff x="5735035" y="3483429"/>
          <a:chExt cx="3373690" cy="6096000"/>
        </a:xfrm>
      </xdr:grpSpPr>
      <xdr:sp macro="" textlink="">
        <xdr:nvSpPr>
          <xdr:cNvPr id="605" name="직사각형 604">
            <a:extLst>
              <a:ext uri="{FF2B5EF4-FFF2-40B4-BE49-F238E27FC236}">
                <a16:creationId xmlns:a16="http://schemas.microsoft.com/office/drawing/2014/main" id="{7FF7D8A6-3501-C33D-072C-6027B9579891}"/>
              </a:ext>
            </a:extLst>
          </xdr:cNvPr>
          <xdr:cNvSpPr/>
        </xdr:nvSpPr>
        <xdr:spPr>
          <a:xfrm>
            <a:off x="6072049" y="9355963"/>
            <a:ext cx="2694434" cy="223466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6" name="직사각형 605">
            <a:extLst>
              <a:ext uri="{FF2B5EF4-FFF2-40B4-BE49-F238E27FC236}">
                <a16:creationId xmlns:a16="http://schemas.microsoft.com/office/drawing/2014/main" id="{A519BCDE-8351-800C-5FF6-7AEA9FA7338E}"/>
              </a:ext>
            </a:extLst>
          </xdr:cNvPr>
          <xdr:cNvSpPr/>
        </xdr:nvSpPr>
        <xdr:spPr>
          <a:xfrm>
            <a:off x="6074447" y="7403368"/>
            <a:ext cx="2694434" cy="220303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7" name="직사각형 606">
            <a:extLst>
              <a:ext uri="{FF2B5EF4-FFF2-40B4-BE49-F238E27FC236}">
                <a16:creationId xmlns:a16="http://schemas.microsoft.com/office/drawing/2014/main" id="{EED02483-D8A9-7E9B-95F6-3A8C164E00A6}"/>
              </a:ext>
            </a:extLst>
          </xdr:cNvPr>
          <xdr:cNvSpPr/>
        </xdr:nvSpPr>
        <xdr:spPr>
          <a:xfrm>
            <a:off x="6075313" y="5442857"/>
            <a:ext cx="2696398" cy="223465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8" name="직사각형 607">
            <a:extLst>
              <a:ext uri="{FF2B5EF4-FFF2-40B4-BE49-F238E27FC236}">
                <a16:creationId xmlns:a16="http://schemas.microsoft.com/office/drawing/2014/main" id="{9ECB2BC5-8A46-CEF6-1C41-9D550CFBCF19}"/>
              </a:ext>
            </a:extLst>
          </xdr:cNvPr>
          <xdr:cNvSpPr/>
        </xdr:nvSpPr>
        <xdr:spPr>
          <a:xfrm>
            <a:off x="6074229" y="3483429"/>
            <a:ext cx="2699657" cy="221779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9" name="직사각형 608">
            <a:extLst>
              <a:ext uri="{FF2B5EF4-FFF2-40B4-BE49-F238E27FC236}">
                <a16:creationId xmlns:a16="http://schemas.microsoft.com/office/drawing/2014/main" id="{CBF53274-A88C-56E8-B2EC-3BE48F477EA7}"/>
              </a:ext>
            </a:extLst>
          </xdr:cNvPr>
          <xdr:cNvSpPr/>
        </xdr:nvSpPr>
        <xdr:spPr>
          <a:xfrm>
            <a:off x="8773886" y="3483429"/>
            <a:ext cx="334839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10" name="직사각형 609">
            <a:extLst>
              <a:ext uri="{FF2B5EF4-FFF2-40B4-BE49-F238E27FC236}">
                <a16:creationId xmlns:a16="http://schemas.microsoft.com/office/drawing/2014/main" id="{816FB539-0472-72F5-85ED-FC0E0DCE93B0}"/>
              </a:ext>
            </a:extLst>
          </xdr:cNvPr>
          <xdr:cNvSpPr/>
        </xdr:nvSpPr>
        <xdr:spPr>
          <a:xfrm>
            <a:off x="5735035" y="3483429"/>
            <a:ext cx="339194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79</xdr:col>
      <xdr:colOff>662940</xdr:colOff>
      <xdr:row>123</xdr:row>
      <xdr:rowOff>0</xdr:rowOff>
    </xdr:from>
    <xdr:to>
      <xdr:col>84</xdr:col>
      <xdr:colOff>662058</xdr:colOff>
      <xdr:row>151</xdr:row>
      <xdr:rowOff>0</xdr:rowOff>
    </xdr:to>
    <xdr:grpSp>
      <xdr:nvGrpSpPr>
        <xdr:cNvPr id="611" name="그룹 610">
          <a:extLst>
            <a:ext uri="{FF2B5EF4-FFF2-40B4-BE49-F238E27FC236}">
              <a16:creationId xmlns:a16="http://schemas.microsoft.com/office/drawing/2014/main" id="{A88C45CC-6D55-4419-94C1-33FA1BBC3319}"/>
            </a:ext>
          </a:extLst>
        </xdr:cNvPr>
        <xdr:cNvGrpSpPr/>
      </xdr:nvGrpSpPr>
      <xdr:grpSpPr>
        <a:xfrm>
          <a:off x="54020258" y="27691773"/>
          <a:ext cx="3376164" cy="6303818"/>
          <a:chOff x="5735035" y="3483429"/>
          <a:chExt cx="3373690" cy="6096000"/>
        </a:xfrm>
      </xdr:grpSpPr>
      <xdr:sp macro="" textlink="">
        <xdr:nvSpPr>
          <xdr:cNvPr id="612" name="직사각형 611">
            <a:extLst>
              <a:ext uri="{FF2B5EF4-FFF2-40B4-BE49-F238E27FC236}">
                <a16:creationId xmlns:a16="http://schemas.microsoft.com/office/drawing/2014/main" id="{A640E684-1C64-1AEB-3123-49A4617005DE}"/>
              </a:ext>
            </a:extLst>
          </xdr:cNvPr>
          <xdr:cNvSpPr/>
        </xdr:nvSpPr>
        <xdr:spPr>
          <a:xfrm>
            <a:off x="6072049" y="9355963"/>
            <a:ext cx="2694434" cy="223466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13" name="직사각형 612">
            <a:extLst>
              <a:ext uri="{FF2B5EF4-FFF2-40B4-BE49-F238E27FC236}">
                <a16:creationId xmlns:a16="http://schemas.microsoft.com/office/drawing/2014/main" id="{775EB30A-D2BA-610D-C030-D7D608A2CC25}"/>
              </a:ext>
            </a:extLst>
          </xdr:cNvPr>
          <xdr:cNvSpPr/>
        </xdr:nvSpPr>
        <xdr:spPr>
          <a:xfrm>
            <a:off x="6074447" y="7403368"/>
            <a:ext cx="2694434" cy="220303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14" name="직사각형 613">
            <a:extLst>
              <a:ext uri="{FF2B5EF4-FFF2-40B4-BE49-F238E27FC236}">
                <a16:creationId xmlns:a16="http://schemas.microsoft.com/office/drawing/2014/main" id="{8528682D-63A2-61FE-7991-7588B5376A42}"/>
              </a:ext>
            </a:extLst>
          </xdr:cNvPr>
          <xdr:cNvSpPr/>
        </xdr:nvSpPr>
        <xdr:spPr>
          <a:xfrm>
            <a:off x="6075313" y="5442857"/>
            <a:ext cx="2696398" cy="223465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15" name="직사각형 614">
            <a:extLst>
              <a:ext uri="{FF2B5EF4-FFF2-40B4-BE49-F238E27FC236}">
                <a16:creationId xmlns:a16="http://schemas.microsoft.com/office/drawing/2014/main" id="{CC606F9B-A1B5-9671-A173-1BC396D2EFCB}"/>
              </a:ext>
            </a:extLst>
          </xdr:cNvPr>
          <xdr:cNvSpPr/>
        </xdr:nvSpPr>
        <xdr:spPr>
          <a:xfrm>
            <a:off x="6074229" y="3483429"/>
            <a:ext cx="2699657" cy="221779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16" name="직사각형 615">
            <a:extLst>
              <a:ext uri="{FF2B5EF4-FFF2-40B4-BE49-F238E27FC236}">
                <a16:creationId xmlns:a16="http://schemas.microsoft.com/office/drawing/2014/main" id="{21C5A467-8452-47E4-5CD8-A1BFB209F794}"/>
              </a:ext>
            </a:extLst>
          </xdr:cNvPr>
          <xdr:cNvSpPr/>
        </xdr:nvSpPr>
        <xdr:spPr>
          <a:xfrm>
            <a:off x="8773886" y="3483429"/>
            <a:ext cx="334839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17" name="직사각형 616">
            <a:extLst>
              <a:ext uri="{FF2B5EF4-FFF2-40B4-BE49-F238E27FC236}">
                <a16:creationId xmlns:a16="http://schemas.microsoft.com/office/drawing/2014/main" id="{82B750A1-DCEB-FA20-1464-4B6F419FD6A2}"/>
              </a:ext>
            </a:extLst>
          </xdr:cNvPr>
          <xdr:cNvSpPr/>
        </xdr:nvSpPr>
        <xdr:spPr>
          <a:xfrm>
            <a:off x="5735035" y="3483429"/>
            <a:ext cx="339194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85</xdr:col>
      <xdr:colOff>882</xdr:colOff>
      <xdr:row>123</xdr:row>
      <xdr:rowOff>0</xdr:rowOff>
    </xdr:from>
    <xdr:to>
      <xdr:col>90</xdr:col>
      <xdr:colOff>0</xdr:colOff>
      <xdr:row>151</xdr:row>
      <xdr:rowOff>0</xdr:rowOff>
    </xdr:to>
    <xdr:grpSp>
      <xdr:nvGrpSpPr>
        <xdr:cNvPr id="618" name="그룹 617">
          <a:extLst>
            <a:ext uri="{FF2B5EF4-FFF2-40B4-BE49-F238E27FC236}">
              <a16:creationId xmlns:a16="http://schemas.microsoft.com/office/drawing/2014/main" id="{04245896-422A-4CAC-934C-B70F7858D583}"/>
            </a:ext>
          </a:extLst>
        </xdr:cNvPr>
        <xdr:cNvGrpSpPr/>
      </xdr:nvGrpSpPr>
      <xdr:grpSpPr>
        <a:xfrm>
          <a:off x="57410655" y="27691773"/>
          <a:ext cx="3376163" cy="6303818"/>
          <a:chOff x="5735035" y="3483429"/>
          <a:chExt cx="3373690" cy="6096000"/>
        </a:xfrm>
      </xdr:grpSpPr>
      <xdr:sp macro="" textlink="">
        <xdr:nvSpPr>
          <xdr:cNvPr id="619" name="직사각형 618">
            <a:extLst>
              <a:ext uri="{FF2B5EF4-FFF2-40B4-BE49-F238E27FC236}">
                <a16:creationId xmlns:a16="http://schemas.microsoft.com/office/drawing/2014/main" id="{835CFE10-9C6F-A01B-C528-799070306D22}"/>
              </a:ext>
            </a:extLst>
          </xdr:cNvPr>
          <xdr:cNvSpPr/>
        </xdr:nvSpPr>
        <xdr:spPr>
          <a:xfrm>
            <a:off x="6072049" y="9355963"/>
            <a:ext cx="2694434" cy="223466"/>
          </a:xfrm>
          <a:prstGeom prst="rect">
            <a:avLst/>
          </a:prstGeom>
          <a:ln w="57150"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20" name="직사각형 619">
            <a:extLst>
              <a:ext uri="{FF2B5EF4-FFF2-40B4-BE49-F238E27FC236}">
                <a16:creationId xmlns:a16="http://schemas.microsoft.com/office/drawing/2014/main" id="{3A0FEF29-67AA-BB8F-C73E-5B31EA4CF372}"/>
              </a:ext>
            </a:extLst>
          </xdr:cNvPr>
          <xdr:cNvSpPr/>
        </xdr:nvSpPr>
        <xdr:spPr>
          <a:xfrm>
            <a:off x="6074229" y="3483429"/>
            <a:ext cx="2699657" cy="221779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21" name="직사각형 620">
            <a:extLst>
              <a:ext uri="{FF2B5EF4-FFF2-40B4-BE49-F238E27FC236}">
                <a16:creationId xmlns:a16="http://schemas.microsoft.com/office/drawing/2014/main" id="{30F8DD76-D0CD-3BD2-3876-3CECC4B66B80}"/>
              </a:ext>
            </a:extLst>
          </xdr:cNvPr>
          <xdr:cNvSpPr/>
        </xdr:nvSpPr>
        <xdr:spPr>
          <a:xfrm>
            <a:off x="8773886" y="3483429"/>
            <a:ext cx="334839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22" name="직사각형 621">
            <a:extLst>
              <a:ext uri="{FF2B5EF4-FFF2-40B4-BE49-F238E27FC236}">
                <a16:creationId xmlns:a16="http://schemas.microsoft.com/office/drawing/2014/main" id="{CA68CD47-C89B-4851-7765-EF84D675C398}"/>
              </a:ext>
            </a:extLst>
          </xdr:cNvPr>
          <xdr:cNvSpPr/>
        </xdr:nvSpPr>
        <xdr:spPr>
          <a:xfrm>
            <a:off x="5735035" y="3483429"/>
            <a:ext cx="339194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70</xdr:col>
      <xdr:colOff>0</xdr:colOff>
      <xdr:row>151</xdr:row>
      <xdr:rowOff>0</xdr:rowOff>
    </xdr:from>
    <xdr:to>
      <xdr:col>95</xdr:col>
      <xdr:colOff>0</xdr:colOff>
      <xdr:row>151</xdr:row>
      <xdr:rowOff>224117</xdr:rowOff>
    </xdr:to>
    <xdr:sp macro="" textlink="">
      <xdr:nvSpPr>
        <xdr:cNvPr id="623" name="직사각형 622">
          <a:extLst>
            <a:ext uri="{FF2B5EF4-FFF2-40B4-BE49-F238E27FC236}">
              <a16:creationId xmlns:a16="http://schemas.microsoft.com/office/drawing/2014/main" id="{CDCA3D45-A6B8-4644-9FDF-56DBE4576604}"/>
            </a:ext>
          </a:extLst>
        </xdr:cNvPr>
        <xdr:cNvSpPr/>
      </xdr:nvSpPr>
      <xdr:spPr>
        <a:xfrm flipV="1">
          <a:off x="32670750" y="16687800"/>
          <a:ext cx="16668750" cy="224117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67</xdr:col>
      <xdr:colOff>0</xdr:colOff>
      <xdr:row>123</xdr:row>
      <xdr:rowOff>0</xdr:rowOff>
    </xdr:from>
    <xdr:to>
      <xdr:col>69</xdr:col>
      <xdr:colOff>0</xdr:colOff>
      <xdr:row>152</xdr:row>
      <xdr:rowOff>1</xdr:rowOff>
    </xdr:to>
    <xdr:sp macro="" textlink="">
      <xdr:nvSpPr>
        <xdr:cNvPr id="624" name="직사각형 623">
          <a:extLst>
            <a:ext uri="{FF2B5EF4-FFF2-40B4-BE49-F238E27FC236}">
              <a16:creationId xmlns:a16="http://schemas.microsoft.com/office/drawing/2014/main" id="{E70486B7-57CC-431B-95A2-61844CF649B1}"/>
            </a:ext>
          </a:extLst>
        </xdr:cNvPr>
        <xdr:cNvSpPr/>
      </xdr:nvSpPr>
      <xdr:spPr>
        <a:xfrm>
          <a:off x="30670500" y="10287000"/>
          <a:ext cx="1333500" cy="6629401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85</xdr:col>
      <xdr:colOff>0</xdr:colOff>
      <xdr:row>173</xdr:row>
      <xdr:rowOff>0</xdr:rowOff>
    </xdr:from>
    <xdr:to>
      <xdr:col>90</xdr:col>
      <xdr:colOff>6925</xdr:colOff>
      <xdr:row>179</xdr:row>
      <xdr:rowOff>220289</xdr:rowOff>
    </xdr:to>
    <xdr:grpSp>
      <xdr:nvGrpSpPr>
        <xdr:cNvPr id="625" name="그룹 624">
          <a:extLst>
            <a:ext uri="{FF2B5EF4-FFF2-40B4-BE49-F238E27FC236}">
              <a16:creationId xmlns:a16="http://schemas.microsoft.com/office/drawing/2014/main" id="{6F9F982D-29C3-4422-AF28-9C58FC4157AD}"/>
            </a:ext>
          </a:extLst>
        </xdr:cNvPr>
        <xdr:cNvGrpSpPr/>
      </xdr:nvGrpSpPr>
      <xdr:grpSpPr>
        <a:xfrm>
          <a:off x="57409773" y="38948591"/>
          <a:ext cx="3383970" cy="1571107"/>
          <a:chOff x="13095584" y="6887989"/>
          <a:chExt cx="3359401" cy="1550542"/>
        </a:xfrm>
      </xdr:grpSpPr>
      <xdr:sp macro="" textlink="">
        <xdr:nvSpPr>
          <xdr:cNvPr id="626" name="타원 625">
            <a:extLst>
              <a:ext uri="{FF2B5EF4-FFF2-40B4-BE49-F238E27FC236}">
                <a16:creationId xmlns:a16="http://schemas.microsoft.com/office/drawing/2014/main" id="{96D4EB62-1505-38C4-57F2-10EB864E5F03}"/>
              </a:ext>
            </a:extLst>
          </xdr:cNvPr>
          <xdr:cNvSpPr/>
        </xdr:nvSpPr>
        <xdr:spPr>
          <a:xfrm>
            <a:off x="15320008" y="7970999"/>
            <a:ext cx="463103" cy="444285"/>
          </a:xfrm>
          <a:prstGeom prst="ellipse">
            <a:avLst/>
          </a:prstGeom>
          <a:solidFill>
            <a:schemeClr val="bg1">
              <a:lumMod val="85000"/>
            </a:schemeClr>
          </a:solidFill>
          <a:ln w="762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27" name="타원 626">
            <a:extLst>
              <a:ext uri="{FF2B5EF4-FFF2-40B4-BE49-F238E27FC236}">
                <a16:creationId xmlns:a16="http://schemas.microsoft.com/office/drawing/2014/main" id="{DEC7106B-5E9A-E84D-DBB1-29FF74519497}"/>
              </a:ext>
            </a:extLst>
          </xdr:cNvPr>
          <xdr:cNvSpPr/>
        </xdr:nvSpPr>
        <xdr:spPr>
          <a:xfrm>
            <a:off x="13768333" y="7994246"/>
            <a:ext cx="463103" cy="444285"/>
          </a:xfrm>
          <a:prstGeom prst="ellipse">
            <a:avLst/>
          </a:prstGeom>
          <a:solidFill>
            <a:schemeClr val="bg1">
              <a:lumMod val="85000"/>
            </a:schemeClr>
          </a:solidFill>
          <a:ln w="762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628" name="그룹 627">
            <a:extLst>
              <a:ext uri="{FF2B5EF4-FFF2-40B4-BE49-F238E27FC236}">
                <a16:creationId xmlns:a16="http://schemas.microsoft.com/office/drawing/2014/main" id="{0203CF23-83D8-F200-F121-72898C10EAAC}"/>
              </a:ext>
            </a:extLst>
          </xdr:cNvPr>
          <xdr:cNvGrpSpPr/>
        </xdr:nvGrpSpPr>
        <xdr:grpSpPr>
          <a:xfrm>
            <a:off x="13095584" y="6887989"/>
            <a:ext cx="3359401" cy="1340917"/>
            <a:chOff x="10386713" y="5540991"/>
            <a:chExt cx="3349594" cy="1334124"/>
          </a:xfrm>
        </xdr:grpSpPr>
        <xdr:sp macro="" textlink="">
          <xdr:nvSpPr>
            <xdr:cNvPr id="629" name="직사각형 628">
              <a:extLst>
                <a:ext uri="{FF2B5EF4-FFF2-40B4-BE49-F238E27FC236}">
                  <a16:creationId xmlns:a16="http://schemas.microsoft.com/office/drawing/2014/main" id="{5445C4FF-1368-A32D-67A3-13D3D7271E2F}"/>
                </a:ext>
              </a:extLst>
            </xdr:cNvPr>
            <xdr:cNvSpPr/>
          </xdr:nvSpPr>
          <xdr:spPr>
            <a:xfrm>
              <a:off x="11056632" y="6425391"/>
              <a:ext cx="2010335" cy="236891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630" name="그룹 629">
              <a:extLst>
                <a:ext uri="{FF2B5EF4-FFF2-40B4-BE49-F238E27FC236}">
                  <a16:creationId xmlns:a16="http://schemas.microsoft.com/office/drawing/2014/main" id="{786DCD63-C9F0-C419-E3BC-1E936CEA7741}"/>
                </a:ext>
              </a:extLst>
            </xdr:cNvPr>
            <xdr:cNvGrpSpPr/>
          </xdr:nvGrpSpPr>
          <xdr:grpSpPr>
            <a:xfrm>
              <a:off x="10386713" y="5540991"/>
              <a:ext cx="3349594" cy="1334124"/>
              <a:chOff x="10373140" y="5469083"/>
              <a:chExt cx="3342858" cy="1313764"/>
            </a:xfrm>
          </xdr:grpSpPr>
          <xdr:sp macro="" textlink="">
            <xdr:nvSpPr>
              <xdr:cNvPr id="631" name="직사각형 630">
                <a:extLst>
                  <a:ext uri="{FF2B5EF4-FFF2-40B4-BE49-F238E27FC236}">
                    <a16:creationId xmlns:a16="http://schemas.microsoft.com/office/drawing/2014/main" id="{B4E57CFB-CC09-00C0-5508-2086EC118EF5}"/>
                  </a:ext>
                </a:extLst>
              </xdr:cNvPr>
              <xdr:cNvSpPr/>
            </xdr:nvSpPr>
            <xdr:spPr>
              <a:xfrm>
                <a:off x="10373140" y="5471904"/>
                <a:ext cx="668571" cy="1310943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632" name="직사각형 631">
                <a:extLst>
                  <a:ext uri="{FF2B5EF4-FFF2-40B4-BE49-F238E27FC236}">
                    <a16:creationId xmlns:a16="http://schemas.microsoft.com/office/drawing/2014/main" id="{884DA7F7-84CE-450B-1DCF-CC8CC6EC1893}"/>
                  </a:ext>
                </a:extLst>
              </xdr:cNvPr>
              <xdr:cNvSpPr/>
            </xdr:nvSpPr>
            <xdr:spPr>
              <a:xfrm>
                <a:off x="11042568" y="6557005"/>
                <a:ext cx="2004859" cy="218661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633" name="직사각형 632">
                <a:extLst>
                  <a:ext uri="{FF2B5EF4-FFF2-40B4-BE49-F238E27FC236}">
                    <a16:creationId xmlns:a16="http://schemas.microsoft.com/office/drawing/2014/main" id="{2FC63060-769C-CE17-1D61-9463C84986BE}"/>
                  </a:ext>
                </a:extLst>
              </xdr:cNvPr>
              <xdr:cNvSpPr/>
            </xdr:nvSpPr>
            <xdr:spPr>
              <a:xfrm>
                <a:off x="13047425" y="5469083"/>
                <a:ext cx="668573" cy="1310943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</xdr:grpSp>
    <xdr:clientData/>
  </xdr:twoCellAnchor>
  <xdr:twoCellAnchor>
    <xdr:from>
      <xdr:col>87</xdr:col>
      <xdr:colOff>0</xdr:colOff>
      <xdr:row>162</xdr:row>
      <xdr:rowOff>218660</xdr:rowOff>
    </xdr:from>
    <xdr:to>
      <xdr:col>88</xdr:col>
      <xdr:colOff>0</xdr:colOff>
      <xdr:row>190</xdr:row>
      <xdr:rowOff>0</xdr:rowOff>
    </xdr:to>
    <xdr:sp macro="" textlink="">
      <xdr:nvSpPr>
        <xdr:cNvPr id="634" name="사각형: 둥근 모서리 633">
          <a:extLst>
            <a:ext uri="{FF2B5EF4-FFF2-40B4-BE49-F238E27FC236}">
              <a16:creationId xmlns:a16="http://schemas.microsoft.com/office/drawing/2014/main" id="{F8D8FE25-63DA-46DE-A3C5-A4A75742878B}"/>
            </a:ext>
          </a:extLst>
        </xdr:cNvPr>
        <xdr:cNvSpPr/>
      </xdr:nvSpPr>
      <xdr:spPr>
        <a:xfrm>
          <a:off x="44005500" y="10505660"/>
          <a:ext cx="666750" cy="6182140"/>
        </a:xfrm>
        <a:prstGeom prst="roundRect">
          <a:avLst/>
        </a:prstGeom>
        <a:noFill/>
        <a:ln w="165100"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90</xdr:col>
      <xdr:colOff>0</xdr:colOff>
      <xdr:row>180</xdr:row>
      <xdr:rowOff>216639</xdr:rowOff>
    </xdr:from>
    <xdr:to>
      <xdr:col>95</xdr:col>
      <xdr:colOff>0</xdr:colOff>
      <xdr:row>190</xdr:row>
      <xdr:rowOff>0</xdr:rowOff>
    </xdr:to>
    <xdr:grpSp>
      <xdr:nvGrpSpPr>
        <xdr:cNvPr id="635" name="그룹 634">
          <a:extLst>
            <a:ext uri="{FF2B5EF4-FFF2-40B4-BE49-F238E27FC236}">
              <a16:creationId xmlns:a16="http://schemas.microsoft.com/office/drawing/2014/main" id="{D8AF4DA2-F6F7-42CB-BF65-17BBCA52F2CC}"/>
            </a:ext>
          </a:extLst>
        </xdr:cNvPr>
        <xdr:cNvGrpSpPr/>
      </xdr:nvGrpSpPr>
      <xdr:grpSpPr>
        <a:xfrm>
          <a:off x="60786818" y="40741184"/>
          <a:ext cx="3377046" cy="2034725"/>
          <a:chOff x="19378246" y="7789747"/>
          <a:chExt cx="3341077" cy="2010745"/>
        </a:xfrm>
      </xdr:grpSpPr>
      <xdr:sp macro="" textlink="">
        <xdr:nvSpPr>
          <xdr:cNvPr id="636" name="직사각형 635">
            <a:extLst>
              <a:ext uri="{FF2B5EF4-FFF2-40B4-BE49-F238E27FC236}">
                <a16:creationId xmlns:a16="http://schemas.microsoft.com/office/drawing/2014/main" id="{97192E63-25AF-A57F-162E-3EEC2E28B135}"/>
              </a:ext>
            </a:extLst>
          </xdr:cNvPr>
          <xdr:cNvSpPr/>
        </xdr:nvSpPr>
        <xdr:spPr>
          <a:xfrm>
            <a:off x="19378247" y="9577755"/>
            <a:ext cx="3341076" cy="222737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37" name="직사각형 636">
            <a:extLst>
              <a:ext uri="{FF2B5EF4-FFF2-40B4-BE49-F238E27FC236}">
                <a16:creationId xmlns:a16="http://schemas.microsoft.com/office/drawing/2014/main" id="{712A2BC2-CEB1-CD02-DF8F-2A281CEE4A5E}"/>
              </a:ext>
            </a:extLst>
          </xdr:cNvPr>
          <xdr:cNvSpPr/>
        </xdr:nvSpPr>
        <xdr:spPr>
          <a:xfrm>
            <a:off x="19378246" y="7793789"/>
            <a:ext cx="334287" cy="2006703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38" name="직사각형 637">
            <a:extLst>
              <a:ext uri="{FF2B5EF4-FFF2-40B4-BE49-F238E27FC236}">
                <a16:creationId xmlns:a16="http://schemas.microsoft.com/office/drawing/2014/main" id="{DA7FE1D1-C93C-8ABB-D755-588977216126}"/>
              </a:ext>
            </a:extLst>
          </xdr:cNvPr>
          <xdr:cNvSpPr/>
        </xdr:nvSpPr>
        <xdr:spPr>
          <a:xfrm>
            <a:off x="22383886" y="7789747"/>
            <a:ext cx="335437" cy="2010745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70</xdr:col>
      <xdr:colOff>1</xdr:colOff>
      <xdr:row>162</xdr:row>
      <xdr:rowOff>0</xdr:rowOff>
    </xdr:from>
    <xdr:to>
      <xdr:col>75</xdr:col>
      <xdr:colOff>1</xdr:colOff>
      <xdr:row>190</xdr:row>
      <xdr:rowOff>0</xdr:rowOff>
    </xdr:to>
    <xdr:grpSp>
      <xdr:nvGrpSpPr>
        <xdr:cNvPr id="639" name="그룹 638">
          <a:extLst>
            <a:ext uri="{FF2B5EF4-FFF2-40B4-BE49-F238E27FC236}">
              <a16:creationId xmlns:a16="http://schemas.microsoft.com/office/drawing/2014/main" id="{F7197B19-F2C0-4B90-B463-B4B659C1B82E}"/>
            </a:ext>
          </a:extLst>
        </xdr:cNvPr>
        <xdr:cNvGrpSpPr/>
      </xdr:nvGrpSpPr>
      <xdr:grpSpPr>
        <a:xfrm>
          <a:off x="47278637" y="36472091"/>
          <a:ext cx="3377046" cy="6303818"/>
          <a:chOff x="5739718" y="3483429"/>
          <a:chExt cx="3369007" cy="6096000"/>
        </a:xfrm>
      </xdr:grpSpPr>
      <xdr:sp macro="" textlink="">
        <xdr:nvSpPr>
          <xdr:cNvPr id="640" name="직사각형 639">
            <a:extLst>
              <a:ext uri="{FF2B5EF4-FFF2-40B4-BE49-F238E27FC236}">
                <a16:creationId xmlns:a16="http://schemas.microsoft.com/office/drawing/2014/main" id="{A03270E8-388A-355A-8C7D-9F2DAF5DCFD9}"/>
              </a:ext>
            </a:extLst>
          </xdr:cNvPr>
          <xdr:cNvSpPr/>
        </xdr:nvSpPr>
        <xdr:spPr>
          <a:xfrm>
            <a:off x="6072049" y="9355963"/>
            <a:ext cx="2694434" cy="223466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41" name="직사각형 640">
            <a:extLst>
              <a:ext uri="{FF2B5EF4-FFF2-40B4-BE49-F238E27FC236}">
                <a16:creationId xmlns:a16="http://schemas.microsoft.com/office/drawing/2014/main" id="{856DBD55-464B-388B-9D25-ABD09912CD4B}"/>
              </a:ext>
            </a:extLst>
          </xdr:cNvPr>
          <xdr:cNvSpPr/>
        </xdr:nvSpPr>
        <xdr:spPr>
          <a:xfrm>
            <a:off x="6074447" y="7403368"/>
            <a:ext cx="2694434" cy="220303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42" name="직사각형 641">
            <a:extLst>
              <a:ext uri="{FF2B5EF4-FFF2-40B4-BE49-F238E27FC236}">
                <a16:creationId xmlns:a16="http://schemas.microsoft.com/office/drawing/2014/main" id="{F7077908-DE23-7404-3D2B-272B711867C2}"/>
              </a:ext>
            </a:extLst>
          </xdr:cNvPr>
          <xdr:cNvSpPr/>
        </xdr:nvSpPr>
        <xdr:spPr>
          <a:xfrm>
            <a:off x="6075313" y="5442857"/>
            <a:ext cx="2696398" cy="223465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43" name="직사각형 642">
            <a:extLst>
              <a:ext uri="{FF2B5EF4-FFF2-40B4-BE49-F238E27FC236}">
                <a16:creationId xmlns:a16="http://schemas.microsoft.com/office/drawing/2014/main" id="{03EF259D-6908-8E44-4FC9-3899C730F539}"/>
              </a:ext>
            </a:extLst>
          </xdr:cNvPr>
          <xdr:cNvSpPr/>
        </xdr:nvSpPr>
        <xdr:spPr>
          <a:xfrm>
            <a:off x="6074229" y="3483429"/>
            <a:ext cx="2699657" cy="221779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44" name="직사각형 643">
            <a:extLst>
              <a:ext uri="{FF2B5EF4-FFF2-40B4-BE49-F238E27FC236}">
                <a16:creationId xmlns:a16="http://schemas.microsoft.com/office/drawing/2014/main" id="{4E60FF03-BEDB-6862-CAF0-501F2EAB583A}"/>
              </a:ext>
            </a:extLst>
          </xdr:cNvPr>
          <xdr:cNvSpPr/>
        </xdr:nvSpPr>
        <xdr:spPr>
          <a:xfrm>
            <a:off x="8773886" y="3483429"/>
            <a:ext cx="334839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45" name="직사각형 644">
            <a:extLst>
              <a:ext uri="{FF2B5EF4-FFF2-40B4-BE49-F238E27FC236}">
                <a16:creationId xmlns:a16="http://schemas.microsoft.com/office/drawing/2014/main" id="{9F7BEE2C-AC10-CC2B-C597-60A900FD749F}"/>
              </a:ext>
            </a:extLst>
          </xdr:cNvPr>
          <xdr:cNvSpPr/>
        </xdr:nvSpPr>
        <xdr:spPr>
          <a:xfrm>
            <a:off x="5739718" y="3483429"/>
            <a:ext cx="339194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75</xdr:col>
      <xdr:colOff>0</xdr:colOff>
      <xdr:row>162</xdr:row>
      <xdr:rowOff>0</xdr:rowOff>
    </xdr:from>
    <xdr:to>
      <xdr:col>80</xdr:col>
      <xdr:colOff>4659</xdr:colOff>
      <xdr:row>190</xdr:row>
      <xdr:rowOff>0</xdr:rowOff>
    </xdr:to>
    <xdr:grpSp>
      <xdr:nvGrpSpPr>
        <xdr:cNvPr id="646" name="그룹 645">
          <a:extLst>
            <a:ext uri="{FF2B5EF4-FFF2-40B4-BE49-F238E27FC236}">
              <a16:creationId xmlns:a16="http://schemas.microsoft.com/office/drawing/2014/main" id="{1CEFBA8F-EE66-446D-972D-295E7519C391}"/>
            </a:ext>
          </a:extLst>
        </xdr:cNvPr>
        <xdr:cNvGrpSpPr/>
      </xdr:nvGrpSpPr>
      <xdr:grpSpPr>
        <a:xfrm>
          <a:off x="50655682" y="36472091"/>
          <a:ext cx="3381704" cy="6303818"/>
          <a:chOff x="5735035" y="3483429"/>
          <a:chExt cx="3373690" cy="6096000"/>
        </a:xfrm>
      </xdr:grpSpPr>
      <xdr:sp macro="" textlink="">
        <xdr:nvSpPr>
          <xdr:cNvPr id="647" name="직사각형 646">
            <a:extLst>
              <a:ext uri="{FF2B5EF4-FFF2-40B4-BE49-F238E27FC236}">
                <a16:creationId xmlns:a16="http://schemas.microsoft.com/office/drawing/2014/main" id="{5788B53D-3483-6108-8524-F689F2EC5F5A}"/>
              </a:ext>
            </a:extLst>
          </xdr:cNvPr>
          <xdr:cNvSpPr/>
        </xdr:nvSpPr>
        <xdr:spPr>
          <a:xfrm>
            <a:off x="6072049" y="9355963"/>
            <a:ext cx="2694434" cy="223466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48" name="직사각형 647">
            <a:extLst>
              <a:ext uri="{FF2B5EF4-FFF2-40B4-BE49-F238E27FC236}">
                <a16:creationId xmlns:a16="http://schemas.microsoft.com/office/drawing/2014/main" id="{28E89602-4D9B-54CF-DF87-B7A4BD8E0ED6}"/>
              </a:ext>
            </a:extLst>
          </xdr:cNvPr>
          <xdr:cNvSpPr/>
        </xdr:nvSpPr>
        <xdr:spPr>
          <a:xfrm>
            <a:off x="6074447" y="7403368"/>
            <a:ext cx="2694434" cy="220303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49" name="직사각형 648">
            <a:extLst>
              <a:ext uri="{FF2B5EF4-FFF2-40B4-BE49-F238E27FC236}">
                <a16:creationId xmlns:a16="http://schemas.microsoft.com/office/drawing/2014/main" id="{CFBE7421-B84D-8B3B-882F-8DC689C205B1}"/>
              </a:ext>
            </a:extLst>
          </xdr:cNvPr>
          <xdr:cNvSpPr/>
        </xdr:nvSpPr>
        <xdr:spPr>
          <a:xfrm>
            <a:off x="6075313" y="5442857"/>
            <a:ext cx="2696398" cy="223465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50" name="직사각형 649">
            <a:extLst>
              <a:ext uri="{FF2B5EF4-FFF2-40B4-BE49-F238E27FC236}">
                <a16:creationId xmlns:a16="http://schemas.microsoft.com/office/drawing/2014/main" id="{DE2DD24C-3268-D736-6F6F-8DE0E57884A3}"/>
              </a:ext>
            </a:extLst>
          </xdr:cNvPr>
          <xdr:cNvSpPr/>
        </xdr:nvSpPr>
        <xdr:spPr>
          <a:xfrm>
            <a:off x="6074229" y="3483429"/>
            <a:ext cx="2699657" cy="221779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51" name="직사각형 650">
            <a:extLst>
              <a:ext uri="{FF2B5EF4-FFF2-40B4-BE49-F238E27FC236}">
                <a16:creationId xmlns:a16="http://schemas.microsoft.com/office/drawing/2014/main" id="{D51018A6-8AEE-AEAB-7C41-3A8DA5270863}"/>
              </a:ext>
            </a:extLst>
          </xdr:cNvPr>
          <xdr:cNvSpPr/>
        </xdr:nvSpPr>
        <xdr:spPr>
          <a:xfrm>
            <a:off x="8773886" y="3483429"/>
            <a:ext cx="334839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52" name="직사각형 651">
            <a:extLst>
              <a:ext uri="{FF2B5EF4-FFF2-40B4-BE49-F238E27FC236}">
                <a16:creationId xmlns:a16="http://schemas.microsoft.com/office/drawing/2014/main" id="{2F6CADC2-8C1E-EDB2-7F81-0D67F42220C3}"/>
              </a:ext>
            </a:extLst>
          </xdr:cNvPr>
          <xdr:cNvSpPr/>
        </xdr:nvSpPr>
        <xdr:spPr>
          <a:xfrm>
            <a:off x="5735035" y="3483429"/>
            <a:ext cx="339194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79</xdr:col>
      <xdr:colOff>662940</xdr:colOff>
      <xdr:row>162</xdr:row>
      <xdr:rowOff>0</xdr:rowOff>
    </xdr:from>
    <xdr:to>
      <xdr:col>84</xdr:col>
      <xdr:colOff>662058</xdr:colOff>
      <xdr:row>190</xdr:row>
      <xdr:rowOff>0</xdr:rowOff>
    </xdr:to>
    <xdr:grpSp>
      <xdr:nvGrpSpPr>
        <xdr:cNvPr id="653" name="그룹 652">
          <a:extLst>
            <a:ext uri="{FF2B5EF4-FFF2-40B4-BE49-F238E27FC236}">
              <a16:creationId xmlns:a16="http://schemas.microsoft.com/office/drawing/2014/main" id="{2DC171D0-8AB3-440D-8DA3-4600A8FEF277}"/>
            </a:ext>
          </a:extLst>
        </xdr:cNvPr>
        <xdr:cNvGrpSpPr/>
      </xdr:nvGrpSpPr>
      <xdr:grpSpPr>
        <a:xfrm>
          <a:off x="54020258" y="36472091"/>
          <a:ext cx="3376164" cy="6303818"/>
          <a:chOff x="5735035" y="3483429"/>
          <a:chExt cx="3373690" cy="6096000"/>
        </a:xfrm>
      </xdr:grpSpPr>
      <xdr:sp macro="" textlink="">
        <xdr:nvSpPr>
          <xdr:cNvPr id="654" name="직사각형 653">
            <a:extLst>
              <a:ext uri="{FF2B5EF4-FFF2-40B4-BE49-F238E27FC236}">
                <a16:creationId xmlns:a16="http://schemas.microsoft.com/office/drawing/2014/main" id="{B6946658-A784-FA89-D04A-745375E8C43A}"/>
              </a:ext>
            </a:extLst>
          </xdr:cNvPr>
          <xdr:cNvSpPr/>
        </xdr:nvSpPr>
        <xdr:spPr>
          <a:xfrm>
            <a:off x="6072049" y="9355963"/>
            <a:ext cx="2694434" cy="223466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55" name="직사각형 654">
            <a:extLst>
              <a:ext uri="{FF2B5EF4-FFF2-40B4-BE49-F238E27FC236}">
                <a16:creationId xmlns:a16="http://schemas.microsoft.com/office/drawing/2014/main" id="{8EF1796B-EA84-3746-2167-69550F3ACDF3}"/>
              </a:ext>
            </a:extLst>
          </xdr:cNvPr>
          <xdr:cNvSpPr/>
        </xdr:nvSpPr>
        <xdr:spPr>
          <a:xfrm>
            <a:off x="6074447" y="7403368"/>
            <a:ext cx="2694434" cy="220303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56" name="직사각형 655">
            <a:extLst>
              <a:ext uri="{FF2B5EF4-FFF2-40B4-BE49-F238E27FC236}">
                <a16:creationId xmlns:a16="http://schemas.microsoft.com/office/drawing/2014/main" id="{254ECD84-5319-A13F-BF5F-C14C79AA9833}"/>
              </a:ext>
            </a:extLst>
          </xdr:cNvPr>
          <xdr:cNvSpPr/>
        </xdr:nvSpPr>
        <xdr:spPr>
          <a:xfrm>
            <a:off x="6075313" y="5442857"/>
            <a:ext cx="2696398" cy="223465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57" name="직사각형 656">
            <a:extLst>
              <a:ext uri="{FF2B5EF4-FFF2-40B4-BE49-F238E27FC236}">
                <a16:creationId xmlns:a16="http://schemas.microsoft.com/office/drawing/2014/main" id="{6CDD9819-970C-E580-C747-0E1F546BAEFC}"/>
              </a:ext>
            </a:extLst>
          </xdr:cNvPr>
          <xdr:cNvSpPr/>
        </xdr:nvSpPr>
        <xdr:spPr>
          <a:xfrm>
            <a:off x="6074229" y="3483429"/>
            <a:ext cx="2699657" cy="221779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58" name="직사각형 657">
            <a:extLst>
              <a:ext uri="{FF2B5EF4-FFF2-40B4-BE49-F238E27FC236}">
                <a16:creationId xmlns:a16="http://schemas.microsoft.com/office/drawing/2014/main" id="{2F71BAC5-F8DA-F9DE-6EB7-9CE37C332349}"/>
              </a:ext>
            </a:extLst>
          </xdr:cNvPr>
          <xdr:cNvSpPr/>
        </xdr:nvSpPr>
        <xdr:spPr>
          <a:xfrm>
            <a:off x="8773886" y="3483429"/>
            <a:ext cx="334839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59" name="직사각형 658">
            <a:extLst>
              <a:ext uri="{FF2B5EF4-FFF2-40B4-BE49-F238E27FC236}">
                <a16:creationId xmlns:a16="http://schemas.microsoft.com/office/drawing/2014/main" id="{8D584D7D-6B83-ED8E-9CB5-326401699349}"/>
              </a:ext>
            </a:extLst>
          </xdr:cNvPr>
          <xdr:cNvSpPr/>
        </xdr:nvSpPr>
        <xdr:spPr>
          <a:xfrm>
            <a:off x="5735035" y="3483429"/>
            <a:ext cx="339194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85</xdr:col>
      <xdr:colOff>338494</xdr:colOff>
      <xdr:row>179</xdr:row>
      <xdr:rowOff>215124</xdr:rowOff>
    </xdr:from>
    <xdr:to>
      <xdr:col>89</xdr:col>
      <xdr:colOff>333337</xdr:colOff>
      <xdr:row>181</xdr:row>
      <xdr:rowOff>1</xdr:rowOff>
    </xdr:to>
    <xdr:sp macro="" textlink="">
      <xdr:nvSpPr>
        <xdr:cNvPr id="661" name="직사각형 660">
          <a:extLst>
            <a:ext uri="{FF2B5EF4-FFF2-40B4-BE49-F238E27FC236}">
              <a16:creationId xmlns:a16="http://schemas.microsoft.com/office/drawing/2014/main" id="{7C453BBA-FEA2-4DCC-3CDB-6FDAA3FE710E}"/>
            </a:ext>
          </a:extLst>
        </xdr:cNvPr>
        <xdr:cNvSpPr/>
      </xdr:nvSpPr>
      <xdr:spPr>
        <a:xfrm>
          <a:off x="43254334" y="39778164"/>
          <a:ext cx="2677083" cy="226837"/>
        </a:xfrm>
        <a:prstGeom prst="rect">
          <a:avLst/>
        </a:prstGeom>
        <a:ln w="57150">
          <a:solidFill>
            <a:schemeClr val="tx1">
              <a:lumMod val="65000"/>
              <a:lumOff val="3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85</xdr:col>
      <xdr:colOff>335101</xdr:colOff>
      <xdr:row>162</xdr:row>
      <xdr:rowOff>0</xdr:rowOff>
    </xdr:from>
    <xdr:to>
      <xdr:col>89</xdr:col>
      <xdr:colOff>335091</xdr:colOff>
      <xdr:row>163</xdr:row>
      <xdr:rowOff>4138</xdr:rowOff>
    </xdr:to>
    <xdr:sp macro="" textlink="">
      <xdr:nvSpPr>
        <xdr:cNvPr id="662" name="직사각형 661">
          <a:extLst>
            <a:ext uri="{FF2B5EF4-FFF2-40B4-BE49-F238E27FC236}">
              <a16:creationId xmlns:a16="http://schemas.microsoft.com/office/drawing/2014/main" id="{DC124BDB-C899-6014-5D50-F8D68D911B37}"/>
            </a:ext>
          </a:extLst>
        </xdr:cNvPr>
        <xdr:cNvSpPr/>
      </xdr:nvSpPr>
      <xdr:spPr>
        <a:xfrm>
          <a:off x="42896265" y="35924836"/>
          <a:ext cx="2660062" cy="225811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89</xdr:col>
      <xdr:colOff>335091</xdr:colOff>
      <xdr:row>162</xdr:row>
      <xdr:rowOff>0</xdr:rowOff>
    </xdr:from>
    <xdr:to>
      <xdr:col>90</xdr:col>
      <xdr:colOff>0</xdr:colOff>
      <xdr:row>190</xdr:row>
      <xdr:rowOff>0</xdr:rowOff>
    </xdr:to>
    <xdr:sp macro="" textlink="">
      <xdr:nvSpPr>
        <xdr:cNvPr id="663" name="직사각형 662">
          <a:extLst>
            <a:ext uri="{FF2B5EF4-FFF2-40B4-BE49-F238E27FC236}">
              <a16:creationId xmlns:a16="http://schemas.microsoft.com/office/drawing/2014/main" id="{9A612158-3B47-B2F9-37C5-DC4A09FA6B25}"/>
            </a:ext>
          </a:extLst>
        </xdr:cNvPr>
        <xdr:cNvSpPr/>
      </xdr:nvSpPr>
      <xdr:spPr>
        <a:xfrm>
          <a:off x="45556327" y="35924836"/>
          <a:ext cx="329928" cy="6206837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85</xdr:col>
      <xdr:colOff>882</xdr:colOff>
      <xdr:row>162</xdr:row>
      <xdr:rowOff>0</xdr:rowOff>
    </xdr:from>
    <xdr:to>
      <xdr:col>85</xdr:col>
      <xdr:colOff>335101</xdr:colOff>
      <xdr:row>190</xdr:row>
      <xdr:rowOff>0</xdr:rowOff>
    </xdr:to>
    <xdr:sp macro="" textlink="">
      <xdr:nvSpPr>
        <xdr:cNvPr id="664" name="직사각형 663">
          <a:extLst>
            <a:ext uri="{FF2B5EF4-FFF2-40B4-BE49-F238E27FC236}">
              <a16:creationId xmlns:a16="http://schemas.microsoft.com/office/drawing/2014/main" id="{9A689C6C-F4D8-EE88-EBCF-EBDA2463706B}"/>
            </a:ext>
          </a:extLst>
        </xdr:cNvPr>
        <xdr:cNvSpPr/>
      </xdr:nvSpPr>
      <xdr:spPr>
        <a:xfrm>
          <a:off x="42562046" y="35924836"/>
          <a:ext cx="334219" cy="6206837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70</xdr:col>
      <xdr:colOff>0</xdr:colOff>
      <xdr:row>190</xdr:row>
      <xdr:rowOff>0</xdr:rowOff>
    </xdr:from>
    <xdr:to>
      <xdr:col>95</xdr:col>
      <xdr:colOff>0</xdr:colOff>
      <xdr:row>190</xdr:row>
      <xdr:rowOff>224117</xdr:rowOff>
    </xdr:to>
    <xdr:sp macro="" textlink="">
      <xdr:nvSpPr>
        <xdr:cNvPr id="665" name="직사각형 664">
          <a:extLst>
            <a:ext uri="{FF2B5EF4-FFF2-40B4-BE49-F238E27FC236}">
              <a16:creationId xmlns:a16="http://schemas.microsoft.com/office/drawing/2014/main" id="{7AE66041-2C7C-4E24-A1E8-5941A83D9B09}"/>
            </a:ext>
          </a:extLst>
        </xdr:cNvPr>
        <xdr:cNvSpPr/>
      </xdr:nvSpPr>
      <xdr:spPr>
        <a:xfrm flipV="1">
          <a:off x="32670750" y="16687800"/>
          <a:ext cx="16668750" cy="224117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67</xdr:col>
      <xdr:colOff>0</xdr:colOff>
      <xdr:row>162</xdr:row>
      <xdr:rowOff>0</xdr:rowOff>
    </xdr:from>
    <xdr:to>
      <xdr:col>69</xdr:col>
      <xdr:colOff>0</xdr:colOff>
      <xdr:row>191</xdr:row>
      <xdr:rowOff>1</xdr:rowOff>
    </xdr:to>
    <xdr:sp macro="" textlink="">
      <xdr:nvSpPr>
        <xdr:cNvPr id="666" name="직사각형 665">
          <a:extLst>
            <a:ext uri="{FF2B5EF4-FFF2-40B4-BE49-F238E27FC236}">
              <a16:creationId xmlns:a16="http://schemas.microsoft.com/office/drawing/2014/main" id="{2007694A-6265-48E6-A327-D19F4213A1F1}"/>
            </a:ext>
          </a:extLst>
        </xdr:cNvPr>
        <xdr:cNvSpPr/>
      </xdr:nvSpPr>
      <xdr:spPr>
        <a:xfrm>
          <a:off x="30670500" y="10287000"/>
          <a:ext cx="1333500" cy="6629401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85</xdr:col>
      <xdr:colOff>0</xdr:colOff>
      <xdr:row>221</xdr:row>
      <xdr:rowOff>0</xdr:rowOff>
    </xdr:from>
    <xdr:to>
      <xdr:col>90</xdr:col>
      <xdr:colOff>6925</xdr:colOff>
      <xdr:row>228</xdr:row>
      <xdr:rowOff>1</xdr:rowOff>
    </xdr:to>
    <xdr:grpSp>
      <xdr:nvGrpSpPr>
        <xdr:cNvPr id="667" name="그룹 666">
          <a:extLst>
            <a:ext uri="{FF2B5EF4-FFF2-40B4-BE49-F238E27FC236}">
              <a16:creationId xmlns:a16="http://schemas.microsoft.com/office/drawing/2014/main" id="{2B706CE6-EB1C-4F2A-9F66-5F065766ACFC}"/>
            </a:ext>
          </a:extLst>
        </xdr:cNvPr>
        <xdr:cNvGrpSpPr/>
      </xdr:nvGrpSpPr>
      <xdr:grpSpPr>
        <a:xfrm>
          <a:off x="57409773" y="49755136"/>
          <a:ext cx="3383970" cy="1575956"/>
          <a:chOff x="13095584" y="6887989"/>
          <a:chExt cx="3359401" cy="1550542"/>
        </a:xfrm>
      </xdr:grpSpPr>
      <xdr:sp macro="" textlink="">
        <xdr:nvSpPr>
          <xdr:cNvPr id="668" name="타원 667">
            <a:extLst>
              <a:ext uri="{FF2B5EF4-FFF2-40B4-BE49-F238E27FC236}">
                <a16:creationId xmlns:a16="http://schemas.microsoft.com/office/drawing/2014/main" id="{9BAB4E7A-F6B3-B46A-65ED-950C53BF04C4}"/>
              </a:ext>
            </a:extLst>
          </xdr:cNvPr>
          <xdr:cNvSpPr/>
        </xdr:nvSpPr>
        <xdr:spPr>
          <a:xfrm>
            <a:off x="15320008" y="7970999"/>
            <a:ext cx="463103" cy="444285"/>
          </a:xfrm>
          <a:prstGeom prst="ellipse">
            <a:avLst/>
          </a:prstGeom>
          <a:solidFill>
            <a:schemeClr val="bg1">
              <a:lumMod val="85000"/>
            </a:schemeClr>
          </a:solidFill>
          <a:ln w="762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69" name="타원 668">
            <a:extLst>
              <a:ext uri="{FF2B5EF4-FFF2-40B4-BE49-F238E27FC236}">
                <a16:creationId xmlns:a16="http://schemas.microsoft.com/office/drawing/2014/main" id="{EBA87E94-40DB-1E4F-7293-55DE39C388E1}"/>
              </a:ext>
            </a:extLst>
          </xdr:cNvPr>
          <xdr:cNvSpPr/>
        </xdr:nvSpPr>
        <xdr:spPr>
          <a:xfrm>
            <a:off x="13822406" y="7994246"/>
            <a:ext cx="463103" cy="444285"/>
          </a:xfrm>
          <a:prstGeom prst="ellipse">
            <a:avLst/>
          </a:prstGeom>
          <a:solidFill>
            <a:schemeClr val="bg1">
              <a:lumMod val="85000"/>
            </a:schemeClr>
          </a:solidFill>
          <a:ln w="762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670" name="그룹 669">
            <a:extLst>
              <a:ext uri="{FF2B5EF4-FFF2-40B4-BE49-F238E27FC236}">
                <a16:creationId xmlns:a16="http://schemas.microsoft.com/office/drawing/2014/main" id="{5BB12722-C54E-55B4-46D1-977F568E625E}"/>
              </a:ext>
            </a:extLst>
          </xdr:cNvPr>
          <xdr:cNvGrpSpPr/>
        </xdr:nvGrpSpPr>
        <xdr:grpSpPr>
          <a:xfrm>
            <a:off x="13095584" y="6887989"/>
            <a:ext cx="3359401" cy="1340917"/>
            <a:chOff x="10386713" y="5540991"/>
            <a:chExt cx="3349594" cy="1334124"/>
          </a:xfrm>
        </xdr:grpSpPr>
        <xdr:sp macro="" textlink="">
          <xdr:nvSpPr>
            <xdr:cNvPr id="671" name="직사각형 670">
              <a:extLst>
                <a:ext uri="{FF2B5EF4-FFF2-40B4-BE49-F238E27FC236}">
                  <a16:creationId xmlns:a16="http://schemas.microsoft.com/office/drawing/2014/main" id="{4155E369-C9FC-37FC-56A5-E46F4D4985A1}"/>
                </a:ext>
              </a:extLst>
            </xdr:cNvPr>
            <xdr:cNvSpPr/>
          </xdr:nvSpPr>
          <xdr:spPr>
            <a:xfrm>
              <a:off x="11110548" y="6425391"/>
              <a:ext cx="2010335" cy="236891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672" name="그룹 671">
              <a:extLst>
                <a:ext uri="{FF2B5EF4-FFF2-40B4-BE49-F238E27FC236}">
                  <a16:creationId xmlns:a16="http://schemas.microsoft.com/office/drawing/2014/main" id="{0E402912-9713-E27A-3FBA-3488EB76D4A2}"/>
                </a:ext>
              </a:extLst>
            </xdr:cNvPr>
            <xdr:cNvGrpSpPr/>
          </xdr:nvGrpSpPr>
          <xdr:grpSpPr>
            <a:xfrm>
              <a:off x="10386713" y="5540991"/>
              <a:ext cx="3349594" cy="1334124"/>
              <a:chOff x="10373140" y="5469083"/>
              <a:chExt cx="3342858" cy="1313764"/>
            </a:xfrm>
          </xdr:grpSpPr>
          <xdr:sp macro="" textlink="">
            <xdr:nvSpPr>
              <xdr:cNvPr id="673" name="직사각형 672">
                <a:extLst>
                  <a:ext uri="{FF2B5EF4-FFF2-40B4-BE49-F238E27FC236}">
                    <a16:creationId xmlns:a16="http://schemas.microsoft.com/office/drawing/2014/main" id="{F2C5FABE-B73D-C26D-E259-FE1DE445A807}"/>
                  </a:ext>
                </a:extLst>
              </xdr:cNvPr>
              <xdr:cNvSpPr/>
            </xdr:nvSpPr>
            <xdr:spPr>
              <a:xfrm>
                <a:off x="10373140" y="5471904"/>
                <a:ext cx="668571" cy="1310943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674" name="직사각형 673">
                <a:extLst>
                  <a:ext uri="{FF2B5EF4-FFF2-40B4-BE49-F238E27FC236}">
                    <a16:creationId xmlns:a16="http://schemas.microsoft.com/office/drawing/2014/main" id="{8C858C2D-38A7-3E52-85A9-46437C216C9C}"/>
                  </a:ext>
                </a:extLst>
              </xdr:cNvPr>
              <xdr:cNvSpPr/>
            </xdr:nvSpPr>
            <xdr:spPr>
              <a:xfrm>
                <a:off x="11042568" y="6557005"/>
                <a:ext cx="2004859" cy="218661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675" name="직사각형 674">
                <a:extLst>
                  <a:ext uri="{FF2B5EF4-FFF2-40B4-BE49-F238E27FC236}">
                    <a16:creationId xmlns:a16="http://schemas.microsoft.com/office/drawing/2014/main" id="{5D646902-7FF7-54AB-87EE-91CA0A786349}"/>
                  </a:ext>
                </a:extLst>
              </xdr:cNvPr>
              <xdr:cNvSpPr/>
            </xdr:nvSpPr>
            <xdr:spPr>
              <a:xfrm>
                <a:off x="13047425" y="5469083"/>
                <a:ext cx="668573" cy="1310943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</xdr:grpSp>
    <xdr:clientData/>
  </xdr:twoCellAnchor>
  <xdr:twoCellAnchor>
    <xdr:from>
      <xdr:col>87</xdr:col>
      <xdr:colOff>0</xdr:colOff>
      <xdr:row>201</xdr:row>
      <xdr:rowOff>218660</xdr:rowOff>
    </xdr:from>
    <xdr:to>
      <xdr:col>88</xdr:col>
      <xdr:colOff>0</xdr:colOff>
      <xdr:row>229</xdr:row>
      <xdr:rowOff>0</xdr:rowOff>
    </xdr:to>
    <xdr:sp macro="" textlink="">
      <xdr:nvSpPr>
        <xdr:cNvPr id="676" name="사각형: 둥근 모서리 675">
          <a:extLst>
            <a:ext uri="{FF2B5EF4-FFF2-40B4-BE49-F238E27FC236}">
              <a16:creationId xmlns:a16="http://schemas.microsoft.com/office/drawing/2014/main" id="{C61F6C56-4994-4EF4-959C-AF632A35A0CD}"/>
            </a:ext>
          </a:extLst>
        </xdr:cNvPr>
        <xdr:cNvSpPr/>
      </xdr:nvSpPr>
      <xdr:spPr>
        <a:xfrm>
          <a:off x="44005500" y="10505660"/>
          <a:ext cx="666750" cy="6182140"/>
        </a:xfrm>
        <a:prstGeom prst="roundRect">
          <a:avLst/>
        </a:prstGeom>
        <a:noFill/>
        <a:ln w="165100"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90</xdr:col>
      <xdr:colOff>0</xdr:colOff>
      <xdr:row>219</xdr:row>
      <xdr:rowOff>216639</xdr:rowOff>
    </xdr:from>
    <xdr:to>
      <xdr:col>95</xdr:col>
      <xdr:colOff>0</xdr:colOff>
      <xdr:row>229</xdr:row>
      <xdr:rowOff>0</xdr:rowOff>
    </xdr:to>
    <xdr:grpSp>
      <xdr:nvGrpSpPr>
        <xdr:cNvPr id="677" name="그룹 676">
          <a:extLst>
            <a:ext uri="{FF2B5EF4-FFF2-40B4-BE49-F238E27FC236}">
              <a16:creationId xmlns:a16="http://schemas.microsoft.com/office/drawing/2014/main" id="{52F0027D-4C1E-4471-939D-5B237B1762E0}"/>
            </a:ext>
          </a:extLst>
        </xdr:cNvPr>
        <xdr:cNvGrpSpPr/>
      </xdr:nvGrpSpPr>
      <xdr:grpSpPr>
        <a:xfrm>
          <a:off x="60786818" y="49521503"/>
          <a:ext cx="3377046" cy="2034724"/>
          <a:chOff x="19378246" y="7789747"/>
          <a:chExt cx="3341077" cy="2010745"/>
        </a:xfrm>
      </xdr:grpSpPr>
      <xdr:sp macro="" textlink="">
        <xdr:nvSpPr>
          <xdr:cNvPr id="678" name="직사각형 677">
            <a:extLst>
              <a:ext uri="{FF2B5EF4-FFF2-40B4-BE49-F238E27FC236}">
                <a16:creationId xmlns:a16="http://schemas.microsoft.com/office/drawing/2014/main" id="{70751BC4-5BDF-9105-2EE0-7B19BABF48C8}"/>
              </a:ext>
            </a:extLst>
          </xdr:cNvPr>
          <xdr:cNvSpPr/>
        </xdr:nvSpPr>
        <xdr:spPr>
          <a:xfrm>
            <a:off x="19378247" y="9577755"/>
            <a:ext cx="3341076" cy="222737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79" name="직사각형 678">
            <a:extLst>
              <a:ext uri="{FF2B5EF4-FFF2-40B4-BE49-F238E27FC236}">
                <a16:creationId xmlns:a16="http://schemas.microsoft.com/office/drawing/2014/main" id="{712B411B-17E9-2A74-AF2D-7404B2259713}"/>
              </a:ext>
            </a:extLst>
          </xdr:cNvPr>
          <xdr:cNvSpPr/>
        </xdr:nvSpPr>
        <xdr:spPr>
          <a:xfrm>
            <a:off x="19378246" y="7793789"/>
            <a:ext cx="334287" cy="2006703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80" name="직사각형 679">
            <a:extLst>
              <a:ext uri="{FF2B5EF4-FFF2-40B4-BE49-F238E27FC236}">
                <a16:creationId xmlns:a16="http://schemas.microsoft.com/office/drawing/2014/main" id="{0AC7E7CC-EAAE-D5F4-D12B-0B5271DD86D9}"/>
              </a:ext>
            </a:extLst>
          </xdr:cNvPr>
          <xdr:cNvSpPr/>
        </xdr:nvSpPr>
        <xdr:spPr>
          <a:xfrm>
            <a:off x="22383886" y="7789747"/>
            <a:ext cx="335437" cy="2010745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70</xdr:col>
      <xdr:colOff>1</xdr:colOff>
      <xdr:row>201</xdr:row>
      <xdr:rowOff>0</xdr:rowOff>
    </xdr:from>
    <xdr:to>
      <xdr:col>75</xdr:col>
      <xdr:colOff>1</xdr:colOff>
      <xdr:row>229</xdr:row>
      <xdr:rowOff>0</xdr:rowOff>
    </xdr:to>
    <xdr:grpSp>
      <xdr:nvGrpSpPr>
        <xdr:cNvPr id="681" name="그룹 680">
          <a:extLst>
            <a:ext uri="{FF2B5EF4-FFF2-40B4-BE49-F238E27FC236}">
              <a16:creationId xmlns:a16="http://schemas.microsoft.com/office/drawing/2014/main" id="{9CB1FC1C-EAE5-4A47-B672-2A834EF5DB27}"/>
            </a:ext>
          </a:extLst>
        </xdr:cNvPr>
        <xdr:cNvGrpSpPr/>
      </xdr:nvGrpSpPr>
      <xdr:grpSpPr>
        <a:xfrm>
          <a:off x="47278637" y="45252409"/>
          <a:ext cx="3377046" cy="6303818"/>
          <a:chOff x="5739718" y="3483429"/>
          <a:chExt cx="3369007" cy="6096000"/>
        </a:xfrm>
      </xdr:grpSpPr>
      <xdr:sp macro="" textlink="">
        <xdr:nvSpPr>
          <xdr:cNvPr id="682" name="직사각형 681">
            <a:extLst>
              <a:ext uri="{FF2B5EF4-FFF2-40B4-BE49-F238E27FC236}">
                <a16:creationId xmlns:a16="http://schemas.microsoft.com/office/drawing/2014/main" id="{42B3926A-2B7E-2521-EE98-384302528F9C}"/>
              </a:ext>
            </a:extLst>
          </xdr:cNvPr>
          <xdr:cNvSpPr/>
        </xdr:nvSpPr>
        <xdr:spPr>
          <a:xfrm>
            <a:off x="6072049" y="9355963"/>
            <a:ext cx="2694434" cy="223466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83" name="직사각형 682">
            <a:extLst>
              <a:ext uri="{FF2B5EF4-FFF2-40B4-BE49-F238E27FC236}">
                <a16:creationId xmlns:a16="http://schemas.microsoft.com/office/drawing/2014/main" id="{C8DF1CD7-BB0B-CA80-EF41-030700CD5254}"/>
              </a:ext>
            </a:extLst>
          </xdr:cNvPr>
          <xdr:cNvSpPr/>
        </xdr:nvSpPr>
        <xdr:spPr>
          <a:xfrm>
            <a:off x="6074447" y="7403368"/>
            <a:ext cx="2694434" cy="220303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84" name="직사각형 683">
            <a:extLst>
              <a:ext uri="{FF2B5EF4-FFF2-40B4-BE49-F238E27FC236}">
                <a16:creationId xmlns:a16="http://schemas.microsoft.com/office/drawing/2014/main" id="{E74F8E7D-52A2-731A-F734-8C62C7443DB3}"/>
              </a:ext>
            </a:extLst>
          </xdr:cNvPr>
          <xdr:cNvSpPr/>
        </xdr:nvSpPr>
        <xdr:spPr>
          <a:xfrm>
            <a:off x="6075313" y="5442857"/>
            <a:ext cx="2696398" cy="223465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85" name="직사각형 684">
            <a:extLst>
              <a:ext uri="{FF2B5EF4-FFF2-40B4-BE49-F238E27FC236}">
                <a16:creationId xmlns:a16="http://schemas.microsoft.com/office/drawing/2014/main" id="{3FACB783-674E-2C4E-7134-11F1C1F73504}"/>
              </a:ext>
            </a:extLst>
          </xdr:cNvPr>
          <xdr:cNvSpPr/>
        </xdr:nvSpPr>
        <xdr:spPr>
          <a:xfrm>
            <a:off x="6074229" y="3483429"/>
            <a:ext cx="2699657" cy="221779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86" name="직사각형 685">
            <a:extLst>
              <a:ext uri="{FF2B5EF4-FFF2-40B4-BE49-F238E27FC236}">
                <a16:creationId xmlns:a16="http://schemas.microsoft.com/office/drawing/2014/main" id="{826F4963-203E-4178-DECC-44F13C767602}"/>
              </a:ext>
            </a:extLst>
          </xdr:cNvPr>
          <xdr:cNvSpPr/>
        </xdr:nvSpPr>
        <xdr:spPr>
          <a:xfrm>
            <a:off x="8773886" y="3483429"/>
            <a:ext cx="334839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87" name="직사각형 686">
            <a:extLst>
              <a:ext uri="{FF2B5EF4-FFF2-40B4-BE49-F238E27FC236}">
                <a16:creationId xmlns:a16="http://schemas.microsoft.com/office/drawing/2014/main" id="{FD467287-E681-E7DC-09E8-85F80FED84EA}"/>
              </a:ext>
            </a:extLst>
          </xdr:cNvPr>
          <xdr:cNvSpPr/>
        </xdr:nvSpPr>
        <xdr:spPr>
          <a:xfrm>
            <a:off x="5739718" y="3483429"/>
            <a:ext cx="339194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75</xdr:col>
      <xdr:colOff>0</xdr:colOff>
      <xdr:row>201</xdr:row>
      <xdr:rowOff>0</xdr:rowOff>
    </xdr:from>
    <xdr:to>
      <xdr:col>80</xdr:col>
      <xdr:colOff>4659</xdr:colOff>
      <xdr:row>229</xdr:row>
      <xdr:rowOff>0</xdr:rowOff>
    </xdr:to>
    <xdr:grpSp>
      <xdr:nvGrpSpPr>
        <xdr:cNvPr id="688" name="그룹 687">
          <a:extLst>
            <a:ext uri="{FF2B5EF4-FFF2-40B4-BE49-F238E27FC236}">
              <a16:creationId xmlns:a16="http://schemas.microsoft.com/office/drawing/2014/main" id="{04BAA944-4B6A-4D60-8D92-06E76D66B2AF}"/>
            </a:ext>
          </a:extLst>
        </xdr:cNvPr>
        <xdr:cNvGrpSpPr/>
      </xdr:nvGrpSpPr>
      <xdr:grpSpPr>
        <a:xfrm>
          <a:off x="50655682" y="45252409"/>
          <a:ext cx="3381704" cy="6303818"/>
          <a:chOff x="5735035" y="3483429"/>
          <a:chExt cx="3373690" cy="6096000"/>
        </a:xfrm>
      </xdr:grpSpPr>
      <xdr:sp macro="" textlink="">
        <xdr:nvSpPr>
          <xdr:cNvPr id="689" name="직사각형 688">
            <a:extLst>
              <a:ext uri="{FF2B5EF4-FFF2-40B4-BE49-F238E27FC236}">
                <a16:creationId xmlns:a16="http://schemas.microsoft.com/office/drawing/2014/main" id="{F728F157-382D-40F5-ADCC-771FACB5CF77}"/>
              </a:ext>
            </a:extLst>
          </xdr:cNvPr>
          <xdr:cNvSpPr/>
        </xdr:nvSpPr>
        <xdr:spPr>
          <a:xfrm>
            <a:off x="6072049" y="9355963"/>
            <a:ext cx="2694434" cy="223466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0" name="직사각형 689">
            <a:extLst>
              <a:ext uri="{FF2B5EF4-FFF2-40B4-BE49-F238E27FC236}">
                <a16:creationId xmlns:a16="http://schemas.microsoft.com/office/drawing/2014/main" id="{C1E04822-2F8D-B728-1E36-0FC355E0CE09}"/>
              </a:ext>
            </a:extLst>
          </xdr:cNvPr>
          <xdr:cNvSpPr/>
        </xdr:nvSpPr>
        <xdr:spPr>
          <a:xfrm>
            <a:off x="6074447" y="7403368"/>
            <a:ext cx="2694434" cy="220303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1" name="직사각형 690">
            <a:extLst>
              <a:ext uri="{FF2B5EF4-FFF2-40B4-BE49-F238E27FC236}">
                <a16:creationId xmlns:a16="http://schemas.microsoft.com/office/drawing/2014/main" id="{08213409-EE17-C7E1-1DB4-C0FB7B041A40}"/>
              </a:ext>
            </a:extLst>
          </xdr:cNvPr>
          <xdr:cNvSpPr/>
        </xdr:nvSpPr>
        <xdr:spPr>
          <a:xfrm>
            <a:off x="6075313" y="5442857"/>
            <a:ext cx="2696398" cy="223465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2" name="직사각형 691">
            <a:extLst>
              <a:ext uri="{FF2B5EF4-FFF2-40B4-BE49-F238E27FC236}">
                <a16:creationId xmlns:a16="http://schemas.microsoft.com/office/drawing/2014/main" id="{C5D8582C-9782-A02E-8452-ECE3B10404C4}"/>
              </a:ext>
            </a:extLst>
          </xdr:cNvPr>
          <xdr:cNvSpPr/>
        </xdr:nvSpPr>
        <xdr:spPr>
          <a:xfrm>
            <a:off x="6074229" y="3483429"/>
            <a:ext cx="2699657" cy="221779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3" name="직사각형 692">
            <a:extLst>
              <a:ext uri="{FF2B5EF4-FFF2-40B4-BE49-F238E27FC236}">
                <a16:creationId xmlns:a16="http://schemas.microsoft.com/office/drawing/2014/main" id="{4C45448D-7FFE-1435-42E1-E319FA6AF53E}"/>
              </a:ext>
            </a:extLst>
          </xdr:cNvPr>
          <xdr:cNvSpPr/>
        </xdr:nvSpPr>
        <xdr:spPr>
          <a:xfrm>
            <a:off x="8773886" y="3483429"/>
            <a:ext cx="334839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4" name="직사각형 693">
            <a:extLst>
              <a:ext uri="{FF2B5EF4-FFF2-40B4-BE49-F238E27FC236}">
                <a16:creationId xmlns:a16="http://schemas.microsoft.com/office/drawing/2014/main" id="{028CB10B-949B-57D4-6AEC-150341CE810B}"/>
              </a:ext>
            </a:extLst>
          </xdr:cNvPr>
          <xdr:cNvSpPr/>
        </xdr:nvSpPr>
        <xdr:spPr>
          <a:xfrm>
            <a:off x="5735035" y="3483429"/>
            <a:ext cx="339194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79</xdr:col>
      <xdr:colOff>662940</xdr:colOff>
      <xdr:row>201</xdr:row>
      <xdr:rowOff>0</xdr:rowOff>
    </xdr:from>
    <xdr:to>
      <xdr:col>84</xdr:col>
      <xdr:colOff>662058</xdr:colOff>
      <xdr:row>229</xdr:row>
      <xdr:rowOff>0</xdr:rowOff>
    </xdr:to>
    <xdr:grpSp>
      <xdr:nvGrpSpPr>
        <xdr:cNvPr id="695" name="그룹 694">
          <a:extLst>
            <a:ext uri="{FF2B5EF4-FFF2-40B4-BE49-F238E27FC236}">
              <a16:creationId xmlns:a16="http://schemas.microsoft.com/office/drawing/2014/main" id="{8D8BCC5D-7F78-40E2-A30A-54CA18994D56}"/>
            </a:ext>
          </a:extLst>
        </xdr:cNvPr>
        <xdr:cNvGrpSpPr/>
      </xdr:nvGrpSpPr>
      <xdr:grpSpPr>
        <a:xfrm>
          <a:off x="54020258" y="45252409"/>
          <a:ext cx="3376164" cy="6303818"/>
          <a:chOff x="5735035" y="3483429"/>
          <a:chExt cx="3373690" cy="6096000"/>
        </a:xfrm>
      </xdr:grpSpPr>
      <xdr:sp macro="" textlink="">
        <xdr:nvSpPr>
          <xdr:cNvPr id="696" name="직사각형 695">
            <a:extLst>
              <a:ext uri="{FF2B5EF4-FFF2-40B4-BE49-F238E27FC236}">
                <a16:creationId xmlns:a16="http://schemas.microsoft.com/office/drawing/2014/main" id="{15AC7014-40CE-F477-7231-C8CCD02EC8C2}"/>
              </a:ext>
            </a:extLst>
          </xdr:cNvPr>
          <xdr:cNvSpPr/>
        </xdr:nvSpPr>
        <xdr:spPr>
          <a:xfrm>
            <a:off x="6072049" y="9355963"/>
            <a:ext cx="2694434" cy="223466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7" name="직사각형 696">
            <a:extLst>
              <a:ext uri="{FF2B5EF4-FFF2-40B4-BE49-F238E27FC236}">
                <a16:creationId xmlns:a16="http://schemas.microsoft.com/office/drawing/2014/main" id="{28CFC385-1675-453F-BC92-20A35CA673C1}"/>
              </a:ext>
            </a:extLst>
          </xdr:cNvPr>
          <xdr:cNvSpPr/>
        </xdr:nvSpPr>
        <xdr:spPr>
          <a:xfrm>
            <a:off x="6074447" y="7403368"/>
            <a:ext cx="2694434" cy="220303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8" name="직사각형 697">
            <a:extLst>
              <a:ext uri="{FF2B5EF4-FFF2-40B4-BE49-F238E27FC236}">
                <a16:creationId xmlns:a16="http://schemas.microsoft.com/office/drawing/2014/main" id="{2782ADC7-DBB8-2B0E-6AAE-C16DA8D29287}"/>
              </a:ext>
            </a:extLst>
          </xdr:cNvPr>
          <xdr:cNvSpPr/>
        </xdr:nvSpPr>
        <xdr:spPr>
          <a:xfrm>
            <a:off x="6075313" y="5442857"/>
            <a:ext cx="2696398" cy="223465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9" name="직사각형 698">
            <a:extLst>
              <a:ext uri="{FF2B5EF4-FFF2-40B4-BE49-F238E27FC236}">
                <a16:creationId xmlns:a16="http://schemas.microsoft.com/office/drawing/2014/main" id="{69321378-1834-FC82-BAF4-852178D01D1F}"/>
              </a:ext>
            </a:extLst>
          </xdr:cNvPr>
          <xdr:cNvSpPr/>
        </xdr:nvSpPr>
        <xdr:spPr>
          <a:xfrm>
            <a:off x="6074229" y="3483429"/>
            <a:ext cx="2699657" cy="221779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0" name="직사각형 699">
            <a:extLst>
              <a:ext uri="{FF2B5EF4-FFF2-40B4-BE49-F238E27FC236}">
                <a16:creationId xmlns:a16="http://schemas.microsoft.com/office/drawing/2014/main" id="{AF1DC087-0DF6-35D5-949B-C1A783B1786D}"/>
              </a:ext>
            </a:extLst>
          </xdr:cNvPr>
          <xdr:cNvSpPr/>
        </xdr:nvSpPr>
        <xdr:spPr>
          <a:xfrm>
            <a:off x="8773886" y="3483429"/>
            <a:ext cx="334839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1" name="직사각형 700">
            <a:extLst>
              <a:ext uri="{FF2B5EF4-FFF2-40B4-BE49-F238E27FC236}">
                <a16:creationId xmlns:a16="http://schemas.microsoft.com/office/drawing/2014/main" id="{3851CDA9-5396-526E-519B-9E08B556122C}"/>
              </a:ext>
            </a:extLst>
          </xdr:cNvPr>
          <xdr:cNvSpPr/>
        </xdr:nvSpPr>
        <xdr:spPr>
          <a:xfrm>
            <a:off x="5735035" y="3483429"/>
            <a:ext cx="339194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85</xdr:col>
      <xdr:colOff>882</xdr:colOff>
      <xdr:row>201</xdr:row>
      <xdr:rowOff>0</xdr:rowOff>
    </xdr:from>
    <xdr:to>
      <xdr:col>90</xdr:col>
      <xdr:colOff>0</xdr:colOff>
      <xdr:row>229</xdr:row>
      <xdr:rowOff>0</xdr:rowOff>
    </xdr:to>
    <xdr:grpSp>
      <xdr:nvGrpSpPr>
        <xdr:cNvPr id="702" name="그룹 701">
          <a:extLst>
            <a:ext uri="{FF2B5EF4-FFF2-40B4-BE49-F238E27FC236}">
              <a16:creationId xmlns:a16="http://schemas.microsoft.com/office/drawing/2014/main" id="{3823F279-B579-49F6-83EA-9B37E5A44548}"/>
            </a:ext>
          </a:extLst>
        </xdr:cNvPr>
        <xdr:cNvGrpSpPr/>
      </xdr:nvGrpSpPr>
      <xdr:grpSpPr>
        <a:xfrm>
          <a:off x="57410655" y="45252409"/>
          <a:ext cx="3376163" cy="6303818"/>
          <a:chOff x="5735035" y="3483429"/>
          <a:chExt cx="3373690" cy="6096000"/>
        </a:xfrm>
      </xdr:grpSpPr>
      <xdr:sp macro="" textlink="">
        <xdr:nvSpPr>
          <xdr:cNvPr id="703" name="직사각형 702">
            <a:extLst>
              <a:ext uri="{FF2B5EF4-FFF2-40B4-BE49-F238E27FC236}">
                <a16:creationId xmlns:a16="http://schemas.microsoft.com/office/drawing/2014/main" id="{C65522A5-3388-4821-ED51-9FD57BFA2260}"/>
              </a:ext>
            </a:extLst>
          </xdr:cNvPr>
          <xdr:cNvSpPr/>
        </xdr:nvSpPr>
        <xdr:spPr>
          <a:xfrm>
            <a:off x="6072049" y="9355963"/>
            <a:ext cx="2694434" cy="223466"/>
          </a:xfrm>
          <a:prstGeom prst="rect">
            <a:avLst/>
          </a:prstGeom>
          <a:ln w="57150"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4" name="직사각형 703">
            <a:extLst>
              <a:ext uri="{FF2B5EF4-FFF2-40B4-BE49-F238E27FC236}">
                <a16:creationId xmlns:a16="http://schemas.microsoft.com/office/drawing/2014/main" id="{E595F9BC-584E-987A-78AF-459D7D14F17B}"/>
              </a:ext>
            </a:extLst>
          </xdr:cNvPr>
          <xdr:cNvSpPr/>
        </xdr:nvSpPr>
        <xdr:spPr>
          <a:xfrm>
            <a:off x="6074229" y="3483429"/>
            <a:ext cx="2699657" cy="221779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5" name="직사각형 704">
            <a:extLst>
              <a:ext uri="{FF2B5EF4-FFF2-40B4-BE49-F238E27FC236}">
                <a16:creationId xmlns:a16="http://schemas.microsoft.com/office/drawing/2014/main" id="{824B216A-C005-F9D3-F6ED-7F410C7E9FA8}"/>
              </a:ext>
            </a:extLst>
          </xdr:cNvPr>
          <xdr:cNvSpPr/>
        </xdr:nvSpPr>
        <xdr:spPr>
          <a:xfrm>
            <a:off x="8773886" y="3483429"/>
            <a:ext cx="334839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6" name="직사각형 705">
            <a:extLst>
              <a:ext uri="{FF2B5EF4-FFF2-40B4-BE49-F238E27FC236}">
                <a16:creationId xmlns:a16="http://schemas.microsoft.com/office/drawing/2014/main" id="{A32C46AD-5DB6-5C95-4E63-A92FD97928CD}"/>
              </a:ext>
            </a:extLst>
          </xdr:cNvPr>
          <xdr:cNvSpPr/>
        </xdr:nvSpPr>
        <xdr:spPr>
          <a:xfrm>
            <a:off x="5735035" y="3483429"/>
            <a:ext cx="339194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70</xdr:col>
      <xdr:colOff>0</xdr:colOff>
      <xdr:row>229</xdr:row>
      <xdr:rowOff>0</xdr:rowOff>
    </xdr:from>
    <xdr:to>
      <xdr:col>95</xdr:col>
      <xdr:colOff>0</xdr:colOff>
      <xdr:row>229</xdr:row>
      <xdr:rowOff>224117</xdr:rowOff>
    </xdr:to>
    <xdr:sp macro="" textlink="">
      <xdr:nvSpPr>
        <xdr:cNvPr id="707" name="직사각형 706">
          <a:extLst>
            <a:ext uri="{FF2B5EF4-FFF2-40B4-BE49-F238E27FC236}">
              <a16:creationId xmlns:a16="http://schemas.microsoft.com/office/drawing/2014/main" id="{DC7C8314-5189-46AF-A288-4BB27453BA21}"/>
            </a:ext>
          </a:extLst>
        </xdr:cNvPr>
        <xdr:cNvSpPr/>
      </xdr:nvSpPr>
      <xdr:spPr>
        <a:xfrm flipV="1">
          <a:off x="32670750" y="16687800"/>
          <a:ext cx="16668750" cy="224117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67</xdr:col>
      <xdr:colOff>0</xdr:colOff>
      <xdr:row>201</xdr:row>
      <xdr:rowOff>0</xdr:rowOff>
    </xdr:from>
    <xdr:to>
      <xdr:col>69</xdr:col>
      <xdr:colOff>0</xdr:colOff>
      <xdr:row>230</xdr:row>
      <xdr:rowOff>1</xdr:rowOff>
    </xdr:to>
    <xdr:sp macro="" textlink="">
      <xdr:nvSpPr>
        <xdr:cNvPr id="708" name="직사각형 707">
          <a:extLst>
            <a:ext uri="{FF2B5EF4-FFF2-40B4-BE49-F238E27FC236}">
              <a16:creationId xmlns:a16="http://schemas.microsoft.com/office/drawing/2014/main" id="{5DA88AF1-A6E6-492C-8B17-2FDCC7ED76EB}"/>
            </a:ext>
          </a:extLst>
        </xdr:cNvPr>
        <xdr:cNvSpPr/>
      </xdr:nvSpPr>
      <xdr:spPr>
        <a:xfrm>
          <a:off x="30670500" y="10287000"/>
          <a:ext cx="1333500" cy="6629401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90</xdr:col>
      <xdr:colOff>0</xdr:colOff>
      <xdr:row>260</xdr:row>
      <xdr:rowOff>0</xdr:rowOff>
    </xdr:from>
    <xdr:to>
      <xdr:col>95</xdr:col>
      <xdr:colOff>6926</xdr:colOff>
      <xdr:row>267</xdr:row>
      <xdr:rowOff>1</xdr:rowOff>
    </xdr:to>
    <xdr:grpSp>
      <xdr:nvGrpSpPr>
        <xdr:cNvPr id="709" name="그룹 708">
          <a:extLst>
            <a:ext uri="{FF2B5EF4-FFF2-40B4-BE49-F238E27FC236}">
              <a16:creationId xmlns:a16="http://schemas.microsoft.com/office/drawing/2014/main" id="{AC21B878-9E7D-40A2-A060-9B043D236B64}"/>
            </a:ext>
          </a:extLst>
        </xdr:cNvPr>
        <xdr:cNvGrpSpPr/>
      </xdr:nvGrpSpPr>
      <xdr:grpSpPr>
        <a:xfrm>
          <a:off x="60786818" y="58535455"/>
          <a:ext cx="3383972" cy="1575955"/>
          <a:chOff x="13095584" y="6887989"/>
          <a:chExt cx="3359401" cy="1550542"/>
        </a:xfrm>
      </xdr:grpSpPr>
      <xdr:sp macro="" textlink="">
        <xdr:nvSpPr>
          <xdr:cNvPr id="710" name="타원 709">
            <a:extLst>
              <a:ext uri="{FF2B5EF4-FFF2-40B4-BE49-F238E27FC236}">
                <a16:creationId xmlns:a16="http://schemas.microsoft.com/office/drawing/2014/main" id="{1C7AFCC0-1DAD-76ED-AB7A-734EF6C53A85}"/>
              </a:ext>
            </a:extLst>
          </xdr:cNvPr>
          <xdr:cNvSpPr/>
        </xdr:nvSpPr>
        <xdr:spPr>
          <a:xfrm>
            <a:off x="15320008" y="7970999"/>
            <a:ext cx="463103" cy="444285"/>
          </a:xfrm>
          <a:prstGeom prst="ellipse">
            <a:avLst/>
          </a:prstGeom>
          <a:solidFill>
            <a:schemeClr val="bg1">
              <a:lumMod val="85000"/>
            </a:schemeClr>
          </a:solidFill>
          <a:ln w="762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1" name="타원 710">
            <a:extLst>
              <a:ext uri="{FF2B5EF4-FFF2-40B4-BE49-F238E27FC236}">
                <a16:creationId xmlns:a16="http://schemas.microsoft.com/office/drawing/2014/main" id="{C7061678-B8E4-8E7E-F476-49584E4C69D4}"/>
              </a:ext>
            </a:extLst>
          </xdr:cNvPr>
          <xdr:cNvSpPr/>
        </xdr:nvSpPr>
        <xdr:spPr>
          <a:xfrm>
            <a:off x="13768333" y="7994246"/>
            <a:ext cx="463103" cy="444285"/>
          </a:xfrm>
          <a:prstGeom prst="ellipse">
            <a:avLst/>
          </a:prstGeom>
          <a:solidFill>
            <a:schemeClr val="bg1">
              <a:lumMod val="85000"/>
            </a:schemeClr>
          </a:solidFill>
          <a:ln w="762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712" name="그룹 711">
            <a:extLst>
              <a:ext uri="{FF2B5EF4-FFF2-40B4-BE49-F238E27FC236}">
                <a16:creationId xmlns:a16="http://schemas.microsoft.com/office/drawing/2014/main" id="{3D217BE3-4E84-4A23-5B27-CAA25409ACF8}"/>
              </a:ext>
            </a:extLst>
          </xdr:cNvPr>
          <xdr:cNvGrpSpPr/>
        </xdr:nvGrpSpPr>
        <xdr:grpSpPr>
          <a:xfrm>
            <a:off x="13095584" y="6887989"/>
            <a:ext cx="3359401" cy="1340917"/>
            <a:chOff x="10386713" y="5540991"/>
            <a:chExt cx="3349594" cy="1334124"/>
          </a:xfrm>
        </xdr:grpSpPr>
        <xdr:sp macro="" textlink="">
          <xdr:nvSpPr>
            <xdr:cNvPr id="713" name="직사각형 712">
              <a:extLst>
                <a:ext uri="{FF2B5EF4-FFF2-40B4-BE49-F238E27FC236}">
                  <a16:creationId xmlns:a16="http://schemas.microsoft.com/office/drawing/2014/main" id="{19452B0E-C990-568A-EB71-3C048408F861}"/>
                </a:ext>
              </a:extLst>
            </xdr:cNvPr>
            <xdr:cNvSpPr/>
          </xdr:nvSpPr>
          <xdr:spPr>
            <a:xfrm>
              <a:off x="11056632" y="6425391"/>
              <a:ext cx="2010335" cy="236891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714" name="그룹 713">
              <a:extLst>
                <a:ext uri="{FF2B5EF4-FFF2-40B4-BE49-F238E27FC236}">
                  <a16:creationId xmlns:a16="http://schemas.microsoft.com/office/drawing/2014/main" id="{C4E62F2D-A4DE-CF1D-41A6-CC319F74CBF4}"/>
                </a:ext>
              </a:extLst>
            </xdr:cNvPr>
            <xdr:cNvGrpSpPr/>
          </xdr:nvGrpSpPr>
          <xdr:grpSpPr>
            <a:xfrm>
              <a:off x="10386713" y="5540991"/>
              <a:ext cx="3349594" cy="1334124"/>
              <a:chOff x="10373140" y="5469083"/>
              <a:chExt cx="3342858" cy="1313764"/>
            </a:xfrm>
          </xdr:grpSpPr>
          <xdr:sp macro="" textlink="">
            <xdr:nvSpPr>
              <xdr:cNvPr id="715" name="직사각형 714">
                <a:extLst>
                  <a:ext uri="{FF2B5EF4-FFF2-40B4-BE49-F238E27FC236}">
                    <a16:creationId xmlns:a16="http://schemas.microsoft.com/office/drawing/2014/main" id="{C2D358AE-FA82-132C-4973-648ACA7DFC34}"/>
                  </a:ext>
                </a:extLst>
              </xdr:cNvPr>
              <xdr:cNvSpPr/>
            </xdr:nvSpPr>
            <xdr:spPr>
              <a:xfrm>
                <a:off x="10373140" y="5471904"/>
                <a:ext cx="668571" cy="1310943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716" name="직사각형 715">
                <a:extLst>
                  <a:ext uri="{FF2B5EF4-FFF2-40B4-BE49-F238E27FC236}">
                    <a16:creationId xmlns:a16="http://schemas.microsoft.com/office/drawing/2014/main" id="{FABF7DB1-2915-FE09-DBC7-486D8C51EEFA}"/>
                  </a:ext>
                </a:extLst>
              </xdr:cNvPr>
              <xdr:cNvSpPr/>
            </xdr:nvSpPr>
            <xdr:spPr>
              <a:xfrm>
                <a:off x="11042568" y="6557005"/>
                <a:ext cx="2004859" cy="218661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717" name="직사각형 716">
                <a:extLst>
                  <a:ext uri="{FF2B5EF4-FFF2-40B4-BE49-F238E27FC236}">
                    <a16:creationId xmlns:a16="http://schemas.microsoft.com/office/drawing/2014/main" id="{281ED14D-F93A-C49E-7E1B-D439A9EB83D0}"/>
                  </a:ext>
                </a:extLst>
              </xdr:cNvPr>
              <xdr:cNvSpPr/>
            </xdr:nvSpPr>
            <xdr:spPr>
              <a:xfrm>
                <a:off x="13047425" y="5469083"/>
                <a:ext cx="668573" cy="1310943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</xdr:grpSp>
    <xdr:clientData/>
  </xdr:twoCellAnchor>
  <xdr:twoCellAnchor>
    <xdr:from>
      <xdr:col>87</xdr:col>
      <xdr:colOff>0</xdr:colOff>
      <xdr:row>240</xdr:row>
      <xdr:rowOff>218660</xdr:rowOff>
    </xdr:from>
    <xdr:to>
      <xdr:col>88</xdr:col>
      <xdr:colOff>0</xdr:colOff>
      <xdr:row>268</xdr:row>
      <xdr:rowOff>0</xdr:rowOff>
    </xdr:to>
    <xdr:sp macro="" textlink="">
      <xdr:nvSpPr>
        <xdr:cNvPr id="718" name="사각형: 둥근 모서리 717">
          <a:extLst>
            <a:ext uri="{FF2B5EF4-FFF2-40B4-BE49-F238E27FC236}">
              <a16:creationId xmlns:a16="http://schemas.microsoft.com/office/drawing/2014/main" id="{9B6AACBC-66D6-463A-AFE4-ABC87846C6FD}"/>
            </a:ext>
          </a:extLst>
        </xdr:cNvPr>
        <xdr:cNvSpPr/>
      </xdr:nvSpPr>
      <xdr:spPr>
        <a:xfrm>
          <a:off x="43891200" y="10207787"/>
          <a:ext cx="665018" cy="5988177"/>
        </a:xfrm>
        <a:prstGeom prst="roundRect">
          <a:avLst/>
        </a:prstGeom>
        <a:noFill/>
        <a:ln w="165100"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90</xdr:col>
      <xdr:colOff>0</xdr:colOff>
      <xdr:row>258</xdr:row>
      <xdr:rowOff>216639</xdr:rowOff>
    </xdr:from>
    <xdr:to>
      <xdr:col>95</xdr:col>
      <xdr:colOff>0</xdr:colOff>
      <xdr:row>268</xdr:row>
      <xdr:rowOff>0</xdr:rowOff>
    </xdr:to>
    <xdr:grpSp>
      <xdr:nvGrpSpPr>
        <xdr:cNvPr id="719" name="그룹 718">
          <a:extLst>
            <a:ext uri="{FF2B5EF4-FFF2-40B4-BE49-F238E27FC236}">
              <a16:creationId xmlns:a16="http://schemas.microsoft.com/office/drawing/2014/main" id="{1CB2CB35-3111-4292-9306-CFEA280F3E6A}"/>
            </a:ext>
          </a:extLst>
        </xdr:cNvPr>
        <xdr:cNvGrpSpPr/>
      </xdr:nvGrpSpPr>
      <xdr:grpSpPr>
        <a:xfrm>
          <a:off x="60786818" y="58301821"/>
          <a:ext cx="3377046" cy="2034724"/>
          <a:chOff x="19378246" y="7789747"/>
          <a:chExt cx="3341077" cy="2010745"/>
        </a:xfrm>
      </xdr:grpSpPr>
      <xdr:sp macro="" textlink="">
        <xdr:nvSpPr>
          <xdr:cNvPr id="720" name="직사각형 719">
            <a:extLst>
              <a:ext uri="{FF2B5EF4-FFF2-40B4-BE49-F238E27FC236}">
                <a16:creationId xmlns:a16="http://schemas.microsoft.com/office/drawing/2014/main" id="{B8FE2CE5-9468-B14E-C631-4E104FF0209F}"/>
              </a:ext>
            </a:extLst>
          </xdr:cNvPr>
          <xdr:cNvSpPr/>
        </xdr:nvSpPr>
        <xdr:spPr>
          <a:xfrm>
            <a:off x="19378247" y="9577755"/>
            <a:ext cx="3341076" cy="222737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21" name="직사각형 720">
            <a:extLst>
              <a:ext uri="{FF2B5EF4-FFF2-40B4-BE49-F238E27FC236}">
                <a16:creationId xmlns:a16="http://schemas.microsoft.com/office/drawing/2014/main" id="{1133AE31-65CC-9F7D-75AC-F60BD48DADC3}"/>
              </a:ext>
            </a:extLst>
          </xdr:cNvPr>
          <xdr:cNvSpPr/>
        </xdr:nvSpPr>
        <xdr:spPr>
          <a:xfrm>
            <a:off x="19378246" y="7793789"/>
            <a:ext cx="334287" cy="2006703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22" name="직사각형 721">
            <a:extLst>
              <a:ext uri="{FF2B5EF4-FFF2-40B4-BE49-F238E27FC236}">
                <a16:creationId xmlns:a16="http://schemas.microsoft.com/office/drawing/2014/main" id="{51F47EAD-7878-7D25-C5DF-A886B063D7B2}"/>
              </a:ext>
            </a:extLst>
          </xdr:cNvPr>
          <xdr:cNvSpPr/>
        </xdr:nvSpPr>
        <xdr:spPr>
          <a:xfrm>
            <a:off x="22383886" y="7789747"/>
            <a:ext cx="335437" cy="2010745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70</xdr:col>
      <xdr:colOff>1</xdr:colOff>
      <xdr:row>240</xdr:row>
      <xdr:rowOff>0</xdr:rowOff>
    </xdr:from>
    <xdr:to>
      <xdr:col>75</xdr:col>
      <xdr:colOff>1</xdr:colOff>
      <xdr:row>268</xdr:row>
      <xdr:rowOff>0</xdr:rowOff>
    </xdr:to>
    <xdr:grpSp>
      <xdr:nvGrpSpPr>
        <xdr:cNvPr id="723" name="그룹 722">
          <a:extLst>
            <a:ext uri="{FF2B5EF4-FFF2-40B4-BE49-F238E27FC236}">
              <a16:creationId xmlns:a16="http://schemas.microsoft.com/office/drawing/2014/main" id="{2D543E7D-D4E1-4B60-8BFB-C517863EEE5D}"/>
            </a:ext>
          </a:extLst>
        </xdr:cNvPr>
        <xdr:cNvGrpSpPr/>
      </xdr:nvGrpSpPr>
      <xdr:grpSpPr>
        <a:xfrm>
          <a:off x="47278637" y="54032727"/>
          <a:ext cx="3377046" cy="6303818"/>
          <a:chOff x="5739718" y="3483429"/>
          <a:chExt cx="3369007" cy="6096000"/>
        </a:xfrm>
      </xdr:grpSpPr>
      <xdr:sp macro="" textlink="">
        <xdr:nvSpPr>
          <xdr:cNvPr id="724" name="직사각형 723">
            <a:extLst>
              <a:ext uri="{FF2B5EF4-FFF2-40B4-BE49-F238E27FC236}">
                <a16:creationId xmlns:a16="http://schemas.microsoft.com/office/drawing/2014/main" id="{AE9D3651-B848-6538-E6BB-61B52DC7347E}"/>
              </a:ext>
            </a:extLst>
          </xdr:cNvPr>
          <xdr:cNvSpPr/>
        </xdr:nvSpPr>
        <xdr:spPr>
          <a:xfrm>
            <a:off x="6072049" y="9355963"/>
            <a:ext cx="2694434" cy="223466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25" name="직사각형 724">
            <a:extLst>
              <a:ext uri="{FF2B5EF4-FFF2-40B4-BE49-F238E27FC236}">
                <a16:creationId xmlns:a16="http://schemas.microsoft.com/office/drawing/2014/main" id="{EDB46CF0-D99A-4951-920C-677BA2369AEB}"/>
              </a:ext>
            </a:extLst>
          </xdr:cNvPr>
          <xdr:cNvSpPr/>
        </xdr:nvSpPr>
        <xdr:spPr>
          <a:xfrm>
            <a:off x="6074447" y="7403368"/>
            <a:ext cx="2694434" cy="220303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26" name="직사각형 725">
            <a:extLst>
              <a:ext uri="{FF2B5EF4-FFF2-40B4-BE49-F238E27FC236}">
                <a16:creationId xmlns:a16="http://schemas.microsoft.com/office/drawing/2014/main" id="{5EF35376-F6B7-40A0-FEA4-D813290DBE43}"/>
              </a:ext>
            </a:extLst>
          </xdr:cNvPr>
          <xdr:cNvSpPr/>
        </xdr:nvSpPr>
        <xdr:spPr>
          <a:xfrm>
            <a:off x="6075313" y="5442857"/>
            <a:ext cx="2696398" cy="223465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27" name="직사각형 726">
            <a:extLst>
              <a:ext uri="{FF2B5EF4-FFF2-40B4-BE49-F238E27FC236}">
                <a16:creationId xmlns:a16="http://schemas.microsoft.com/office/drawing/2014/main" id="{7AA95363-D489-5BE4-7DA0-B63929F5349B}"/>
              </a:ext>
            </a:extLst>
          </xdr:cNvPr>
          <xdr:cNvSpPr/>
        </xdr:nvSpPr>
        <xdr:spPr>
          <a:xfrm>
            <a:off x="6074229" y="3483429"/>
            <a:ext cx="2699657" cy="221779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28" name="직사각형 727">
            <a:extLst>
              <a:ext uri="{FF2B5EF4-FFF2-40B4-BE49-F238E27FC236}">
                <a16:creationId xmlns:a16="http://schemas.microsoft.com/office/drawing/2014/main" id="{810520E9-A8B7-B691-0F6F-C98265E4F037}"/>
              </a:ext>
            </a:extLst>
          </xdr:cNvPr>
          <xdr:cNvSpPr/>
        </xdr:nvSpPr>
        <xdr:spPr>
          <a:xfrm>
            <a:off x="8773886" y="3483429"/>
            <a:ext cx="334839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29" name="직사각형 728">
            <a:extLst>
              <a:ext uri="{FF2B5EF4-FFF2-40B4-BE49-F238E27FC236}">
                <a16:creationId xmlns:a16="http://schemas.microsoft.com/office/drawing/2014/main" id="{8612610B-86B7-333C-CAC9-188CBDC4B0F6}"/>
              </a:ext>
            </a:extLst>
          </xdr:cNvPr>
          <xdr:cNvSpPr/>
        </xdr:nvSpPr>
        <xdr:spPr>
          <a:xfrm>
            <a:off x="5739718" y="3483429"/>
            <a:ext cx="339194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75</xdr:col>
      <xdr:colOff>0</xdr:colOff>
      <xdr:row>240</xdr:row>
      <xdr:rowOff>0</xdr:rowOff>
    </xdr:from>
    <xdr:to>
      <xdr:col>80</xdr:col>
      <xdr:colOff>4659</xdr:colOff>
      <xdr:row>268</xdr:row>
      <xdr:rowOff>0</xdr:rowOff>
    </xdr:to>
    <xdr:grpSp>
      <xdr:nvGrpSpPr>
        <xdr:cNvPr id="730" name="그룹 729">
          <a:extLst>
            <a:ext uri="{FF2B5EF4-FFF2-40B4-BE49-F238E27FC236}">
              <a16:creationId xmlns:a16="http://schemas.microsoft.com/office/drawing/2014/main" id="{64F0C428-3FA7-4A1C-ABA2-A47F8BAA8D35}"/>
            </a:ext>
          </a:extLst>
        </xdr:cNvPr>
        <xdr:cNvGrpSpPr/>
      </xdr:nvGrpSpPr>
      <xdr:grpSpPr>
        <a:xfrm>
          <a:off x="50655682" y="54032727"/>
          <a:ext cx="3381704" cy="6303818"/>
          <a:chOff x="5735035" y="3483429"/>
          <a:chExt cx="3373690" cy="6096000"/>
        </a:xfrm>
      </xdr:grpSpPr>
      <xdr:sp macro="" textlink="">
        <xdr:nvSpPr>
          <xdr:cNvPr id="731" name="직사각형 730">
            <a:extLst>
              <a:ext uri="{FF2B5EF4-FFF2-40B4-BE49-F238E27FC236}">
                <a16:creationId xmlns:a16="http://schemas.microsoft.com/office/drawing/2014/main" id="{FE274353-BEE3-7D48-AAC6-D646C4A55882}"/>
              </a:ext>
            </a:extLst>
          </xdr:cNvPr>
          <xdr:cNvSpPr/>
        </xdr:nvSpPr>
        <xdr:spPr>
          <a:xfrm>
            <a:off x="6072049" y="9355963"/>
            <a:ext cx="2694434" cy="223466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32" name="직사각형 731">
            <a:extLst>
              <a:ext uri="{FF2B5EF4-FFF2-40B4-BE49-F238E27FC236}">
                <a16:creationId xmlns:a16="http://schemas.microsoft.com/office/drawing/2014/main" id="{1F5C766F-3B50-DD6F-F5C7-8FB71DC6F066}"/>
              </a:ext>
            </a:extLst>
          </xdr:cNvPr>
          <xdr:cNvSpPr/>
        </xdr:nvSpPr>
        <xdr:spPr>
          <a:xfrm>
            <a:off x="6074447" y="7403368"/>
            <a:ext cx="2694434" cy="220303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33" name="직사각형 732">
            <a:extLst>
              <a:ext uri="{FF2B5EF4-FFF2-40B4-BE49-F238E27FC236}">
                <a16:creationId xmlns:a16="http://schemas.microsoft.com/office/drawing/2014/main" id="{10EFDE37-7C7D-61CB-2121-B22937B23480}"/>
              </a:ext>
            </a:extLst>
          </xdr:cNvPr>
          <xdr:cNvSpPr/>
        </xdr:nvSpPr>
        <xdr:spPr>
          <a:xfrm>
            <a:off x="6075313" y="5442857"/>
            <a:ext cx="2696398" cy="223465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34" name="직사각형 733">
            <a:extLst>
              <a:ext uri="{FF2B5EF4-FFF2-40B4-BE49-F238E27FC236}">
                <a16:creationId xmlns:a16="http://schemas.microsoft.com/office/drawing/2014/main" id="{2463B443-FCB6-09FA-005D-2ABE62C4C1D1}"/>
              </a:ext>
            </a:extLst>
          </xdr:cNvPr>
          <xdr:cNvSpPr/>
        </xdr:nvSpPr>
        <xdr:spPr>
          <a:xfrm>
            <a:off x="6074229" y="3483429"/>
            <a:ext cx="2699657" cy="221779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35" name="직사각형 734">
            <a:extLst>
              <a:ext uri="{FF2B5EF4-FFF2-40B4-BE49-F238E27FC236}">
                <a16:creationId xmlns:a16="http://schemas.microsoft.com/office/drawing/2014/main" id="{43324B93-A60B-51C2-AC3A-6B77A06DEEAC}"/>
              </a:ext>
            </a:extLst>
          </xdr:cNvPr>
          <xdr:cNvSpPr/>
        </xdr:nvSpPr>
        <xdr:spPr>
          <a:xfrm>
            <a:off x="8773886" y="3483429"/>
            <a:ext cx="334839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36" name="직사각형 735">
            <a:extLst>
              <a:ext uri="{FF2B5EF4-FFF2-40B4-BE49-F238E27FC236}">
                <a16:creationId xmlns:a16="http://schemas.microsoft.com/office/drawing/2014/main" id="{F4619B63-40CC-E32F-8E30-61B2E21EA5CB}"/>
              </a:ext>
            </a:extLst>
          </xdr:cNvPr>
          <xdr:cNvSpPr/>
        </xdr:nvSpPr>
        <xdr:spPr>
          <a:xfrm>
            <a:off x="5735035" y="3483429"/>
            <a:ext cx="339194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79</xdr:col>
      <xdr:colOff>662940</xdr:colOff>
      <xdr:row>240</xdr:row>
      <xdr:rowOff>0</xdr:rowOff>
    </xdr:from>
    <xdr:to>
      <xdr:col>84</xdr:col>
      <xdr:colOff>662058</xdr:colOff>
      <xdr:row>268</xdr:row>
      <xdr:rowOff>0</xdr:rowOff>
    </xdr:to>
    <xdr:grpSp>
      <xdr:nvGrpSpPr>
        <xdr:cNvPr id="737" name="그룹 736">
          <a:extLst>
            <a:ext uri="{FF2B5EF4-FFF2-40B4-BE49-F238E27FC236}">
              <a16:creationId xmlns:a16="http://schemas.microsoft.com/office/drawing/2014/main" id="{8725269F-495E-4A1F-A274-6F2052872851}"/>
            </a:ext>
          </a:extLst>
        </xdr:cNvPr>
        <xdr:cNvGrpSpPr/>
      </xdr:nvGrpSpPr>
      <xdr:grpSpPr>
        <a:xfrm>
          <a:off x="54020258" y="54032727"/>
          <a:ext cx="3376164" cy="6303818"/>
          <a:chOff x="5735035" y="3483429"/>
          <a:chExt cx="3373690" cy="6096000"/>
        </a:xfrm>
      </xdr:grpSpPr>
      <xdr:sp macro="" textlink="">
        <xdr:nvSpPr>
          <xdr:cNvPr id="738" name="직사각형 737">
            <a:extLst>
              <a:ext uri="{FF2B5EF4-FFF2-40B4-BE49-F238E27FC236}">
                <a16:creationId xmlns:a16="http://schemas.microsoft.com/office/drawing/2014/main" id="{F9A99F0A-514C-0AA6-647F-DE7C00AE8AFB}"/>
              </a:ext>
            </a:extLst>
          </xdr:cNvPr>
          <xdr:cNvSpPr/>
        </xdr:nvSpPr>
        <xdr:spPr>
          <a:xfrm>
            <a:off x="6072049" y="9355963"/>
            <a:ext cx="2694434" cy="223466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39" name="직사각형 738">
            <a:extLst>
              <a:ext uri="{FF2B5EF4-FFF2-40B4-BE49-F238E27FC236}">
                <a16:creationId xmlns:a16="http://schemas.microsoft.com/office/drawing/2014/main" id="{3E63495B-2D12-E19A-E0C8-83945B7CB761}"/>
              </a:ext>
            </a:extLst>
          </xdr:cNvPr>
          <xdr:cNvSpPr/>
        </xdr:nvSpPr>
        <xdr:spPr>
          <a:xfrm>
            <a:off x="6074447" y="7403368"/>
            <a:ext cx="2694434" cy="220303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0" name="직사각형 739">
            <a:extLst>
              <a:ext uri="{FF2B5EF4-FFF2-40B4-BE49-F238E27FC236}">
                <a16:creationId xmlns:a16="http://schemas.microsoft.com/office/drawing/2014/main" id="{EF822356-389D-0CCD-3CB4-90C5798B5517}"/>
              </a:ext>
            </a:extLst>
          </xdr:cNvPr>
          <xdr:cNvSpPr/>
        </xdr:nvSpPr>
        <xdr:spPr>
          <a:xfrm>
            <a:off x="6075313" y="5442857"/>
            <a:ext cx="2696398" cy="223465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1" name="직사각형 740">
            <a:extLst>
              <a:ext uri="{FF2B5EF4-FFF2-40B4-BE49-F238E27FC236}">
                <a16:creationId xmlns:a16="http://schemas.microsoft.com/office/drawing/2014/main" id="{C08E04D1-944E-0674-D545-2B061F99C4CE}"/>
              </a:ext>
            </a:extLst>
          </xdr:cNvPr>
          <xdr:cNvSpPr/>
        </xdr:nvSpPr>
        <xdr:spPr>
          <a:xfrm>
            <a:off x="6074229" y="3483429"/>
            <a:ext cx="2699657" cy="221779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2" name="직사각형 741">
            <a:extLst>
              <a:ext uri="{FF2B5EF4-FFF2-40B4-BE49-F238E27FC236}">
                <a16:creationId xmlns:a16="http://schemas.microsoft.com/office/drawing/2014/main" id="{B4832FA2-638B-0AA7-435D-BDF4313F6AF0}"/>
              </a:ext>
            </a:extLst>
          </xdr:cNvPr>
          <xdr:cNvSpPr/>
        </xdr:nvSpPr>
        <xdr:spPr>
          <a:xfrm>
            <a:off x="8773886" y="3483429"/>
            <a:ext cx="334839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3" name="직사각형 742">
            <a:extLst>
              <a:ext uri="{FF2B5EF4-FFF2-40B4-BE49-F238E27FC236}">
                <a16:creationId xmlns:a16="http://schemas.microsoft.com/office/drawing/2014/main" id="{4ED06B04-05EA-B566-61EA-B5F3DECD7D82}"/>
              </a:ext>
            </a:extLst>
          </xdr:cNvPr>
          <xdr:cNvSpPr/>
        </xdr:nvSpPr>
        <xdr:spPr>
          <a:xfrm>
            <a:off x="5735035" y="3483429"/>
            <a:ext cx="339194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85</xdr:col>
      <xdr:colOff>882</xdr:colOff>
      <xdr:row>240</xdr:row>
      <xdr:rowOff>0</xdr:rowOff>
    </xdr:from>
    <xdr:to>
      <xdr:col>90</xdr:col>
      <xdr:colOff>0</xdr:colOff>
      <xdr:row>268</xdr:row>
      <xdr:rowOff>0</xdr:rowOff>
    </xdr:to>
    <xdr:grpSp>
      <xdr:nvGrpSpPr>
        <xdr:cNvPr id="744" name="그룹 743">
          <a:extLst>
            <a:ext uri="{FF2B5EF4-FFF2-40B4-BE49-F238E27FC236}">
              <a16:creationId xmlns:a16="http://schemas.microsoft.com/office/drawing/2014/main" id="{7593C436-984B-49D8-9374-69E7F7A36513}"/>
            </a:ext>
          </a:extLst>
        </xdr:cNvPr>
        <xdr:cNvGrpSpPr/>
      </xdr:nvGrpSpPr>
      <xdr:grpSpPr>
        <a:xfrm>
          <a:off x="57410655" y="54032727"/>
          <a:ext cx="3376163" cy="6303818"/>
          <a:chOff x="5735035" y="3483429"/>
          <a:chExt cx="3373690" cy="6096000"/>
        </a:xfrm>
      </xdr:grpSpPr>
      <xdr:sp macro="" textlink="">
        <xdr:nvSpPr>
          <xdr:cNvPr id="745" name="직사각형 744">
            <a:extLst>
              <a:ext uri="{FF2B5EF4-FFF2-40B4-BE49-F238E27FC236}">
                <a16:creationId xmlns:a16="http://schemas.microsoft.com/office/drawing/2014/main" id="{B43F95A6-378B-9C2F-1D5B-9AB8E694B54C}"/>
              </a:ext>
            </a:extLst>
          </xdr:cNvPr>
          <xdr:cNvSpPr/>
        </xdr:nvSpPr>
        <xdr:spPr>
          <a:xfrm>
            <a:off x="6072049" y="9355963"/>
            <a:ext cx="2694434" cy="223466"/>
          </a:xfrm>
          <a:prstGeom prst="rect">
            <a:avLst/>
          </a:prstGeom>
          <a:ln w="57150"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6" name="직사각형 745">
            <a:extLst>
              <a:ext uri="{FF2B5EF4-FFF2-40B4-BE49-F238E27FC236}">
                <a16:creationId xmlns:a16="http://schemas.microsoft.com/office/drawing/2014/main" id="{36526907-898F-A396-20AC-F1406F51C0E6}"/>
              </a:ext>
            </a:extLst>
          </xdr:cNvPr>
          <xdr:cNvSpPr/>
        </xdr:nvSpPr>
        <xdr:spPr>
          <a:xfrm>
            <a:off x="6074229" y="3483429"/>
            <a:ext cx="2699657" cy="221779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7" name="직사각형 746">
            <a:extLst>
              <a:ext uri="{FF2B5EF4-FFF2-40B4-BE49-F238E27FC236}">
                <a16:creationId xmlns:a16="http://schemas.microsoft.com/office/drawing/2014/main" id="{570BE713-94F8-6FDA-6469-BF903B9BF8BF}"/>
              </a:ext>
            </a:extLst>
          </xdr:cNvPr>
          <xdr:cNvSpPr/>
        </xdr:nvSpPr>
        <xdr:spPr>
          <a:xfrm>
            <a:off x="8773886" y="3483429"/>
            <a:ext cx="334839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8" name="직사각형 747">
            <a:extLst>
              <a:ext uri="{FF2B5EF4-FFF2-40B4-BE49-F238E27FC236}">
                <a16:creationId xmlns:a16="http://schemas.microsoft.com/office/drawing/2014/main" id="{EFCB060E-B168-2630-7ECF-5D808AB8333C}"/>
              </a:ext>
            </a:extLst>
          </xdr:cNvPr>
          <xdr:cNvSpPr/>
        </xdr:nvSpPr>
        <xdr:spPr>
          <a:xfrm>
            <a:off x="5735035" y="3483429"/>
            <a:ext cx="339194" cy="609600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70</xdr:col>
      <xdr:colOff>0</xdr:colOff>
      <xdr:row>268</xdr:row>
      <xdr:rowOff>0</xdr:rowOff>
    </xdr:from>
    <xdr:to>
      <xdr:col>95</xdr:col>
      <xdr:colOff>0</xdr:colOff>
      <xdr:row>268</xdr:row>
      <xdr:rowOff>224117</xdr:rowOff>
    </xdr:to>
    <xdr:sp macro="" textlink="">
      <xdr:nvSpPr>
        <xdr:cNvPr id="749" name="직사각형 748">
          <a:extLst>
            <a:ext uri="{FF2B5EF4-FFF2-40B4-BE49-F238E27FC236}">
              <a16:creationId xmlns:a16="http://schemas.microsoft.com/office/drawing/2014/main" id="{4E5655B9-A4ED-4383-8034-CCD35B2422C4}"/>
            </a:ext>
          </a:extLst>
        </xdr:cNvPr>
        <xdr:cNvSpPr/>
      </xdr:nvSpPr>
      <xdr:spPr>
        <a:xfrm flipV="1">
          <a:off x="32585891" y="16195964"/>
          <a:ext cx="16625454" cy="224117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67</xdr:col>
      <xdr:colOff>0</xdr:colOff>
      <xdr:row>240</xdr:row>
      <xdr:rowOff>0</xdr:rowOff>
    </xdr:from>
    <xdr:to>
      <xdr:col>69</xdr:col>
      <xdr:colOff>0</xdr:colOff>
      <xdr:row>269</xdr:row>
      <xdr:rowOff>1</xdr:rowOff>
    </xdr:to>
    <xdr:sp macro="" textlink="">
      <xdr:nvSpPr>
        <xdr:cNvPr id="750" name="직사각형 749">
          <a:extLst>
            <a:ext uri="{FF2B5EF4-FFF2-40B4-BE49-F238E27FC236}">
              <a16:creationId xmlns:a16="http://schemas.microsoft.com/office/drawing/2014/main" id="{9D789C80-C2CF-4818-BEA0-33F581CF2624}"/>
            </a:ext>
          </a:extLst>
        </xdr:cNvPr>
        <xdr:cNvSpPr/>
      </xdr:nvSpPr>
      <xdr:spPr>
        <a:xfrm>
          <a:off x="30590836" y="9989127"/>
          <a:ext cx="1330037" cy="642851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91</xdr:col>
      <xdr:colOff>0</xdr:colOff>
      <xdr:row>68</xdr:row>
      <xdr:rowOff>15096</xdr:rowOff>
    </xdr:from>
    <xdr:to>
      <xdr:col>94</xdr:col>
      <xdr:colOff>0</xdr:colOff>
      <xdr:row>70</xdr:row>
      <xdr:rowOff>4354</xdr:rowOff>
    </xdr:to>
    <xdr:sp macro="" textlink="">
      <xdr:nvSpPr>
        <xdr:cNvPr id="751" name="화살표: 오른쪽 750">
          <a:extLst>
            <a:ext uri="{FF2B5EF4-FFF2-40B4-BE49-F238E27FC236}">
              <a16:creationId xmlns:a16="http://schemas.microsoft.com/office/drawing/2014/main" id="{6F25F7BE-CF5B-4FAA-9374-A35C6E3A821E}"/>
            </a:ext>
          </a:extLst>
        </xdr:cNvPr>
        <xdr:cNvSpPr/>
      </xdr:nvSpPr>
      <xdr:spPr>
        <a:xfrm flipH="1">
          <a:off x="46939200" y="15124467"/>
          <a:ext cx="2011680" cy="433396"/>
        </a:xfrm>
        <a:prstGeom prst="rightArrow">
          <a:avLst/>
        </a:prstGeom>
        <a:solidFill>
          <a:srgbClr val="C00000"/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87</xdr:col>
      <xdr:colOff>116314</xdr:colOff>
      <xdr:row>104</xdr:row>
      <xdr:rowOff>0</xdr:rowOff>
    </xdr:from>
    <xdr:to>
      <xdr:col>87</xdr:col>
      <xdr:colOff>546296</xdr:colOff>
      <xdr:row>111</xdr:row>
      <xdr:rowOff>0</xdr:rowOff>
    </xdr:to>
    <xdr:sp macro="" textlink="">
      <xdr:nvSpPr>
        <xdr:cNvPr id="752" name="화살표: 오른쪽 751">
          <a:extLst>
            <a:ext uri="{FF2B5EF4-FFF2-40B4-BE49-F238E27FC236}">
              <a16:creationId xmlns:a16="http://schemas.microsoft.com/office/drawing/2014/main" id="{6FDA67FE-80AC-4C6B-AA0F-78435EE5D163}"/>
            </a:ext>
          </a:extLst>
        </xdr:cNvPr>
        <xdr:cNvSpPr/>
      </xdr:nvSpPr>
      <xdr:spPr>
        <a:xfrm rot="5400000" flipH="1">
          <a:off x="43763300" y="23505267"/>
          <a:ext cx="1544052" cy="429982"/>
        </a:xfrm>
        <a:prstGeom prst="rightArrow">
          <a:avLst/>
        </a:prstGeom>
        <a:solidFill>
          <a:srgbClr val="C00000"/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76</xdr:col>
      <xdr:colOff>0</xdr:colOff>
      <xdr:row>136</xdr:row>
      <xdr:rowOff>7340</xdr:rowOff>
    </xdr:from>
    <xdr:to>
      <xdr:col>84</xdr:col>
      <xdr:colOff>0</xdr:colOff>
      <xdr:row>138</xdr:row>
      <xdr:rowOff>0</xdr:rowOff>
    </xdr:to>
    <xdr:sp macro="" textlink="">
      <xdr:nvSpPr>
        <xdr:cNvPr id="753" name="화살표: 오른쪽 752">
          <a:extLst>
            <a:ext uri="{FF2B5EF4-FFF2-40B4-BE49-F238E27FC236}">
              <a16:creationId xmlns:a16="http://schemas.microsoft.com/office/drawing/2014/main" id="{D2229C36-85A4-41B3-8B92-7961EB671ED1}"/>
            </a:ext>
          </a:extLst>
        </xdr:cNvPr>
        <xdr:cNvSpPr/>
      </xdr:nvSpPr>
      <xdr:spPr>
        <a:xfrm flipH="1">
          <a:off x="36807913" y="29758470"/>
          <a:ext cx="5353878" cy="429982"/>
        </a:xfrm>
        <a:prstGeom prst="rightArrow">
          <a:avLst/>
        </a:prstGeom>
        <a:solidFill>
          <a:srgbClr val="C00000"/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76</xdr:col>
      <xdr:colOff>0</xdr:colOff>
      <xdr:row>176</xdr:row>
      <xdr:rowOff>0</xdr:rowOff>
    </xdr:from>
    <xdr:to>
      <xdr:col>84</xdr:col>
      <xdr:colOff>0</xdr:colOff>
      <xdr:row>177</xdr:row>
      <xdr:rowOff>221260</xdr:rowOff>
    </xdr:to>
    <xdr:sp macro="" textlink="">
      <xdr:nvSpPr>
        <xdr:cNvPr id="754" name="화살표: 오른쪽 753">
          <a:extLst>
            <a:ext uri="{FF2B5EF4-FFF2-40B4-BE49-F238E27FC236}">
              <a16:creationId xmlns:a16="http://schemas.microsoft.com/office/drawing/2014/main" id="{081D0660-770F-4CEA-A179-34AF047D1789}"/>
            </a:ext>
          </a:extLst>
        </xdr:cNvPr>
        <xdr:cNvSpPr/>
      </xdr:nvSpPr>
      <xdr:spPr>
        <a:xfrm>
          <a:off x="36671250" y="40233600"/>
          <a:ext cx="5334000" cy="449860"/>
        </a:xfrm>
        <a:prstGeom prst="rightArrow">
          <a:avLst/>
        </a:prstGeom>
        <a:solidFill>
          <a:srgbClr val="C00000"/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87</xdr:col>
      <xdr:colOff>116543</xdr:colOff>
      <xdr:row>212</xdr:row>
      <xdr:rowOff>8965</xdr:rowOff>
    </xdr:from>
    <xdr:to>
      <xdr:col>87</xdr:col>
      <xdr:colOff>546525</xdr:colOff>
      <xdr:row>219</xdr:row>
      <xdr:rowOff>8966</xdr:rowOff>
    </xdr:to>
    <xdr:sp macro="" textlink="">
      <xdr:nvSpPr>
        <xdr:cNvPr id="755" name="화살표: 오른쪽 754">
          <a:extLst>
            <a:ext uri="{FF2B5EF4-FFF2-40B4-BE49-F238E27FC236}">
              <a16:creationId xmlns:a16="http://schemas.microsoft.com/office/drawing/2014/main" id="{DA1135FF-60C0-40A1-B532-530628F88D68}"/>
            </a:ext>
          </a:extLst>
        </xdr:cNvPr>
        <xdr:cNvSpPr/>
      </xdr:nvSpPr>
      <xdr:spPr>
        <a:xfrm rot="16200000" flipH="1">
          <a:off x="43922416" y="48100292"/>
          <a:ext cx="1568824" cy="429982"/>
        </a:xfrm>
        <a:prstGeom prst="rightArrow">
          <a:avLst/>
        </a:prstGeom>
        <a:solidFill>
          <a:srgbClr val="C00000"/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86</xdr:col>
      <xdr:colOff>0</xdr:colOff>
      <xdr:row>263</xdr:row>
      <xdr:rowOff>0</xdr:rowOff>
    </xdr:from>
    <xdr:to>
      <xdr:col>89</xdr:col>
      <xdr:colOff>0</xdr:colOff>
      <xdr:row>264</xdr:row>
      <xdr:rowOff>210238</xdr:rowOff>
    </xdr:to>
    <xdr:sp macro="" textlink="">
      <xdr:nvSpPr>
        <xdr:cNvPr id="756" name="화살표: 오른쪽 755">
          <a:extLst>
            <a:ext uri="{FF2B5EF4-FFF2-40B4-BE49-F238E27FC236}">
              <a16:creationId xmlns:a16="http://schemas.microsoft.com/office/drawing/2014/main" id="{E5C6932E-DEED-44CA-BF7A-53C36EFF57E1}"/>
            </a:ext>
          </a:extLst>
        </xdr:cNvPr>
        <xdr:cNvSpPr/>
      </xdr:nvSpPr>
      <xdr:spPr>
        <a:xfrm>
          <a:off x="43586400" y="58125360"/>
          <a:ext cx="2011680" cy="431218"/>
        </a:xfrm>
        <a:prstGeom prst="rightArrow">
          <a:avLst/>
        </a:prstGeom>
        <a:solidFill>
          <a:srgbClr val="C00000"/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0</xdr:colOff>
      <xdr:row>37</xdr:row>
      <xdr:rowOff>0</xdr:rowOff>
    </xdr:from>
    <xdr:to>
      <xdr:col>25</xdr:col>
      <xdr:colOff>0</xdr:colOff>
      <xdr:row>39</xdr:row>
      <xdr:rowOff>37406</xdr:rowOff>
    </xdr:to>
    <xdr:sp macro="" textlink="">
      <xdr:nvSpPr>
        <xdr:cNvPr id="758" name="직사각형 757">
          <a:extLst>
            <a:ext uri="{FF2B5EF4-FFF2-40B4-BE49-F238E27FC236}">
              <a16:creationId xmlns:a16="http://schemas.microsoft.com/office/drawing/2014/main" id="{91CA2E67-6925-F577-A899-E930D6293686}"/>
            </a:ext>
          </a:extLst>
        </xdr:cNvPr>
        <xdr:cNvSpPr/>
      </xdr:nvSpPr>
      <xdr:spPr>
        <a:xfrm>
          <a:off x="14630400" y="8215745"/>
          <a:ext cx="1995055" cy="480752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2</a:t>
          </a:r>
          <a:r>
            <a:rPr lang="en-US" altLang="ko-KR" sz="2800" b="1" baseline="0">
              <a:solidFill>
                <a:sysClr val="windowText" lastClr="000000"/>
              </a:solidFill>
            </a:rPr>
            <a:t> cell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0</xdr:colOff>
      <xdr:row>37</xdr:row>
      <xdr:rowOff>0</xdr:rowOff>
    </xdr:from>
    <xdr:to>
      <xdr:col>20</xdr:col>
      <xdr:colOff>0</xdr:colOff>
      <xdr:row>39</xdr:row>
      <xdr:rowOff>22859</xdr:rowOff>
    </xdr:to>
    <xdr:sp macro="" textlink="">
      <xdr:nvSpPr>
        <xdr:cNvPr id="759" name="직사각형 758">
          <a:extLst>
            <a:ext uri="{FF2B5EF4-FFF2-40B4-BE49-F238E27FC236}">
              <a16:creationId xmlns:a16="http://schemas.microsoft.com/office/drawing/2014/main" id="{DD85FE70-2794-41D9-8EC9-4B5FCB6DF8F4}"/>
            </a:ext>
          </a:extLst>
        </xdr:cNvPr>
        <xdr:cNvSpPr/>
      </xdr:nvSpPr>
      <xdr:spPr>
        <a:xfrm>
          <a:off x="11305309" y="8215745"/>
          <a:ext cx="1995055" cy="46620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 baseline="0">
              <a:solidFill>
                <a:sysClr val="windowText" lastClr="000000"/>
              </a:solidFill>
            </a:rPr>
            <a:t>3 cell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0</xdr:colOff>
      <xdr:row>37</xdr:row>
      <xdr:rowOff>0</xdr:rowOff>
    </xdr:from>
    <xdr:to>
      <xdr:col>30</xdr:col>
      <xdr:colOff>0</xdr:colOff>
      <xdr:row>39</xdr:row>
      <xdr:rowOff>22859</xdr:rowOff>
    </xdr:to>
    <xdr:sp macro="" textlink="">
      <xdr:nvSpPr>
        <xdr:cNvPr id="760" name="직사각형 759">
          <a:extLst>
            <a:ext uri="{FF2B5EF4-FFF2-40B4-BE49-F238E27FC236}">
              <a16:creationId xmlns:a16="http://schemas.microsoft.com/office/drawing/2014/main" id="{224BAF93-07B3-4153-9A26-533D1B1DABBE}"/>
            </a:ext>
          </a:extLst>
        </xdr:cNvPr>
        <xdr:cNvSpPr/>
      </xdr:nvSpPr>
      <xdr:spPr>
        <a:xfrm>
          <a:off x="17955491" y="8215745"/>
          <a:ext cx="1995054" cy="46620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 baseline="0">
              <a:solidFill>
                <a:sysClr val="windowText" lastClr="000000"/>
              </a:solidFill>
            </a:rPr>
            <a:t>1 cell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32</xdr:col>
      <xdr:colOff>0</xdr:colOff>
      <xdr:row>37</xdr:row>
      <xdr:rowOff>0</xdr:rowOff>
    </xdr:from>
    <xdr:to>
      <xdr:col>35</xdr:col>
      <xdr:colOff>0</xdr:colOff>
      <xdr:row>39</xdr:row>
      <xdr:rowOff>22859</xdr:rowOff>
    </xdr:to>
    <xdr:sp macro="" textlink="">
      <xdr:nvSpPr>
        <xdr:cNvPr id="761" name="직사각형 760">
          <a:extLst>
            <a:ext uri="{FF2B5EF4-FFF2-40B4-BE49-F238E27FC236}">
              <a16:creationId xmlns:a16="http://schemas.microsoft.com/office/drawing/2014/main" id="{41CA1982-9551-4245-B1EC-18AB5A2B40DE}"/>
            </a:ext>
          </a:extLst>
        </xdr:cNvPr>
        <xdr:cNvSpPr/>
      </xdr:nvSpPr>
      <xdr:spPr>
        <a:xfrm>
          <a:off x="21280582" y="8215745"/>
          <a:ext cx="1995054" cy="46620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Lift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37</xdr:col>
      <xdr:colOff>0</xdr:colOff>
      <xdr:row>37</xdr:row>
      <xdr:rowOff>0</xdr:rowOff>
    </xdr:from>
    <xdr:to>
      <xdr:col>40</xdr:col>
      <xdr:colOff>0</xdr:colOff>
      <xdr:row>39</xdr:row>
      <xdr:rowOff>22859</xdr:rowOff>
    </xdr:to>
    <xdr:sp macro="" textlink="">
      <xdr:nvSpPr>
        <xdr:cNvPr id="762" name="직사각형 761">
          <a:extLst>
            <a:ext uri="{FF2B5EF4-FFF2-40B4-BE49-F238E27FC236}">
              <a16:creationId xmlns:a16="http://schemas.microsoft.com/office/drawing/2014/main" id="{85FB9F2F-F46E-4EE0-91C3-D70B2CAD58EA}"/>
            </a:ext>
          </a:extLst>
        </xdr:cNvPr>
        <xdr:cNvSpPr/>
      </xdr:nvSpPr>
      <xdr:spPr>
        <a:xfrm>
          <a:off x="24605673" y="8215745"/>
          <a:ext cx="1995054" cy="46620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Init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-1</xdr:colOff>
      <xdr:row>36</xdr:row>
      <xdr:rowOff>198813</xdr:rowOff>
    </xdr:from>
    <xdr:to>
      <xdr:col>11</xdr:col>
      <xdr:colOff>0</xdr:colOff>
      <xdr:row>39</xdr:row>
      <xdr:rowOff>0</xdr:rowOff>
    </xdr:to>
    <xdr:sp macro="" textlink="">
      <xdr:nvSpPr>
        <xdr:cNvPr id="763" name="직사각형 762">
          <a:extLst>
            <a:ext uri="{FF2B5EF4-FFF2-40B4-BE49-F238E27FC236}">
              <a16:creationId xmlns:a16="http://schemas.microsoft.com/office/drawing/2014/main" id="{BC556A69-69EF-44BD-BCD6-0FA2B37EE16B}"/>
            </a:ext>
          </a:extLst>
        </xdr:cNvPr>
        <xdr:cNvSpPr/>
      </xdr:nvSpPr>
      <xdr:spPr>
        <a:xfrm>
          <a:off x="5985163" y="8192886"/>
          <a:ext cx="1330037" cy="46620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 baseline="0">
              <a:solidFill>
                <a:sysClr val="windowText" lastClr="000000"/>
              </a:solidFill>
            </a:rPr>
            <a:t>Wall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76</xdr:col>
      <xdr:colOff>0</xdr:colOff>
      <xdr:row>35</xdr:row>
      <xdr:rowOff>198120</xdr:rowOff>
    </xdr:from>
    <xdr:to>
      <xdr:col>79</xdr:col>
      <xdr:colOff>0</xdr:colOff>
      <xdr:row>38</xdr:row>
      <xdr:rowOff>0</xdr:rowOff>
    </xdr:to>
    <xdr:sp macro="" textlink="">
      <xdr:nvSpPr>
        <xdr:cNvPr id="764" name="직사각형 763">
          <a:extLst>
            <a:ext uri="{FF2B5EF4-FFF2-40B4-BE49-F238E27FC236}">
              <a16:creationId xmlns:a16="http://schemas.microsoft.com/office/drawing/2014/main" id="{D575CA98-0E7C-4F32-914F-4AC0EB5F89BA}"/>
            </a:ext>
          </a:extLst>
        </xdr:cNvPr>
        <xdr:cNvSpPr/>
      </xdr:nvSpPr>
      <xdr:spPr>
        <a:xfrm>
          <a:off x="14668500" y="9799320"/>
          <a:ext cx="2000250" cy="48768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2</a:t>
          </a:r>
          <a:r>
            <a:rPr lang="en-US" altLang="ko-KR" sz="2800" b="1" baseline="0">
              <a:solidFill>
                <a:sysClr val="windowText" lastClr="000000"/>
              </a:solidFill>
            </a:rPr>
            <a:t> cell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71</xdr:col>
      <xdr:colOff>0</xdr:colOff>
      <xdr:row>36</xdr:row>
      <xdr:rowOff>0</xdr:rowOff>
    </xdr:from>
    <xdr:to>
      <xdr:col>74</xdr:col>
      <xdr:colOff>0</xdr:colOff>
      <xdr:row>38</xdr:row>
      <xdr:rowOff>22860</xdr:rowOff>
    </xdr:to>
    <xdr:sp macro="" textlink="">
      <xdr:nvSpPr>
        <xdr:cNvPr id="765" name="직사각형 764">
          <a:extLst>
            <a:ext uri="{FF2B5EF4-FFF2-40B4-BE49-F238E27FC236}">
              <a16:creationId xmlns:a16="http://schemas.microsoft.com/office/drawing/2014/main" id="{4C0C1358-0E13-4148-A3B5-F4EFE107EB92}"/>
            </a:ext>
          </a:extLst>
        </xdr:cNvPr>
        <xdr:cNvSpPr/>
      </xdr:nvSpPr>
      <xdr:spPr>
        <a:xfrm>
          <a:off x="11334750" y="9829800"/>
          <a:ext cx="2000250" cy="4800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 baseline="0">
              <a:solidFill>
                <a:sysClr val="windowText" lastClr="000000"/>
              </a:solidFill>
            </a:rPr>
            <a:t>1 cell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81</xdr:col>
      <xdr:colOff>0</xdr:colOff>
      <xdr:row>36</xdr:row>
      <xdr:rowOff>0</xdr:rowOff>
    </xdr:from>
    <xdr:to>
      <xdr:col>84</xdr:col>
      <xdr:colOff>0</xdr:colOff>
      <xdr:row>38</xdr:row>
      <xdr:rowOff>22860</xdr:rowOff>
    </xdr:to>
    <xdr:sp macro="" textlink="">
      <xdr:nvSpPr>
        <xdr:cNvPr id="766" name="직사각형 765">
          <a:extLst>
            <a:ext uri="{FF2B5EF4-FFF2-40B4-BE49-F238E27FC236}">
              <a16:creationId xmlns:a16="http://schemas.microsoft.com/office/drawing/2014/main" id="{170F5375-87E4-4565-B1B0-9256A4254A60}"/>
            </a:ext>
          </a:extLst>
        </xdr:cNvPr>
        <xdr:cNvSpPr/>
      </xdr:nvSpPr>
      <xdr:spPr>
        <a:xfrm>
          <a:off x="18002250" y="9829800"/>
          <a:ext cx="2000250" cy="4800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 baseline="0">
              <a:solidFill>
                <a:sysClr val="windowText" lastClr="000000"/>
              </a:solidFill>
            </a:rPr>
            <a:t>1 cell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86</xdr:col>
      <xdr:colOff>0</xdr:colOff>
      <xdr:row>36</xdr:row>
      <xdr:rowOff>0</xdr:rowOff>
    </xdr:from>
    <xdr:to>
      <xdr:col>89</xdr:col>
      <xdr:colOff>0</xdr:colOff>
      <xdr:row>38</xdr:row>
      <xdr:rowOff>22860</xdr:rowOff>
    </xdr:to>
    <xdr:sp macro="" textlink="">
      <xdr:nvSpPr>
        <xdr:cNvPr id="767" name="직사각형 766">
          <a:extLst>
            <a:ext uri="{FF2B5EF4-FFF2-40B4-BE49-F238E27FC236}">
              <a16:creationId xmlns:a16="http://schemas.microsoft.com/office/drawing/2014/main" id="{8A4D0E10-8360-4D50-964A-EA6C538E24D1}"/>
            </a:ext>
          </a:extLst>
        </xdr:cNvPr>
        <xdr:cNvSpPr/>
      </xdr:nvSpPr>
      <xdr:spPr>
        <a:xfrm>
          <a:off x="21336000" y="9829800"/>
          <a:ext cx="2000250" cy="4800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Lift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91</xdr:col>
      <xdr:colOff>0</xdr:colOff>
      <xdr:row>36</xdr:row>
      <xdr:rowOff>0</xdr:rowOff>
    </xdr:from>
    <xdr:to>
      <xdr:col>94</xdr:col>
      <xdr:colOff>0</xdr:colOff>
      <xdr:row>38</xdr:row>
      <xdr:rowOff>22860</xdr:rowOff>
    </xdr:to>
    <xdr:sp macro="" textlink="">
      <xdr:nvSpPr>
        <xdr:cNvPr id="768" name="직사각형 767">
          <a:extLst>
            <a:ext uri="{FF2B5EF4-FFF2-40B4-BE49-F238E27FC236}">
              <a16:creationId xmlns:a16="http://schemas.microsoft.com/office/drawing/2014/main" id="{4992370D-79EE-4486-9062-BDA1CB1AABCA}"/>
            </a:ext>
          </a:extLst>
        </xdr:cNvPr>
        <xdr:cNvSpPr/>
      </xdr:nvSpPr>
      <xdr:spPr>
        <a:xfrm>
          <a:off x="24669750" y="9829800"/>
          <a:ext cx="2000250" cy="4800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Init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67</xdr:col>
      <xdr:colOff>1</xdr:colOff>
      <xdr:row>36</xdr:row>
      <xdr:rowOff>0</xdr:rowOff>
    </xdr:from>
    <xdr:to>
      <xdr:col>69</xdr:col>
      <xdr:colOff>1</xdr:colOff>
      <xdr:row>38</xdr:row>
      <xdr:rowOff>22860</xdr:rowOff>
    </xdr:to>
    <xdr:sp macro="" textlink="">
      <xdr:nvSpPr>
        <xdr:cNvPr id="769" name="직사각형 768">
          <a:extLst>
            <a:ext uri="{FF2B5EF4-FFF2-40B4-BE49-F238E27FC236}">
              <a16:creationId xmlns:a16="http://schemas.microsoft.com/office/drawing/2014/main" id="{8A91F726-B861-4373-85B5-53376D056548}"/>
            </a:ext>
          </a:extLst>
        </xdr:cNvPr>
        <xdr:cNvSpPr/>
      </xdr:nvSpPr>
      <xdr:spPr>
        <a:xfrm>
          <a:off x="8667751" y="9829800"/>
          <a:ext cx="1333500" cy="4800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 baseline="0">
              <a:solidFill>
                <a:sysClr val="windowText" lastClr="000000"/>
              </a:solidFill>
            </a:rPr>
            <a:t>Wall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76</xdr:col>
      <xdr:colOff>0</xdr:colOff>
      <xdr:row>74</xdr:row>
      <xdr:rowOff>198120</xdr:rowOff>
    </xdr:from>
    <xdr:to>
      <xdr:col>79</xdr:col>
      <xdr:colOff>0</xdr:colOff>
      <xdr:row>77</xdr:row>
      <xdr:rowOff>0</xdr:rowOff>
    </xdr:to>
    <xdr:sp macro="" textlink="">
      <xdr:nvSpPr>
        <xdr:cNvPr id="770" name="직사각형 769">
          <a:extLst>
            <a:ext uri="{FF2B5EF4-FFF2-40B4-BE49-F238E27FC236}">
              <a16:creationId xmlns:a16="http://schemas.microsoft.com/office/drawing/2014/main" id="{3766FA35-9B5F-4D03-B60F-2A893C38C964}"/>
            </a:ext>
          </a:extLst>
        </xdr:cNvPr>
        <xdr:cNvSpPr/>
      </xdr:nvSpPr>
      <xdr:spPr>
        <a:xfrm>
          <a:off x="14630400" y="9536084"/>
          <a:ext cx="1995055" cy="46689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2</a:t>
          </a:r>
          <a:r>
            <a:rPr lang="en-US" altLang="ko-KR" sz="2800" b="1" baseline="0">
              <a:solidFill>
                <a:sysClr val="windowText" lastClr="000000"/>
              </a:solidFill>
            </a:rPr>
            <a:t> cell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71</xdr:col>
      <xdr:colOff>0</xdr:colOff>
      <xdr:row>75</xdr:row>
      <xdr:rowOff>0</xdr:rowOff>
    </xdr:from>
    <xdr:to>
      <xdr:col>74</xdr:col>
      <xdr:colOff>0</xdr:colOff>
      <xdr:row>77</xdr:row>
      <xdr:rowOff>22860</xdr:rowOff>
    </xdr:to>
    <xdr:sp macro="" textlink="">
      <xdr:nvSpPr>
        <xdr:cNvPr id="771" name="직사각형 770">
          <a:extLst>
            <a:ext uri="{FF2B5EF4-FFF2-40B4-BE49-F238E27FC236}">
              <a16:creationId xmlns:a16="http://schemas.microsoft.com/office/drawing/2014/main" id="{39831211-6B13-4F2E-BA31-9F565A7767F0}"/>
            </a:ext>
          </a:extLst>
        </xdr:cNvPr>
        <xdr:cNvSpPr/>
      </xdr:nvSpPr>
      <xdr:spPr>
        <a:xfrm>
          <a:off x="11305309" y="9559636"/>
          <a:ext cx="1995055" cy="46620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 baseline="0">
              <a:solidFill>
                <a:sysClr val="windowText" lastClr="000000"/>
              </a:solidFill>
            </a:rPr>
            <a:t>1 cell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81</xdr:col>
      <xdr:colOff>0</xdr:colOff>
      <xdr:row>75</xdr:row>
      <xdr:rowOff>0</xdr:rowOff>
    </xdr:from>
    <xdr:to>
      <xdr:col>84</xdr:col>
      <xdr:colOff>0</xdr:colOff>
      <xdr:row>77</xdr:row>
      <xdr:rowOff>22860</xdr:rowOff>
    </xdr:to>
    <xdr:sp macro="" textlink="">
      <xdr:nvSpPr>
        <xdr:cNvPr id="772" name="직사각형 771">
          <a:extLst>
            <a:ext uri="{FF2B5EF4-FFF2-40B4-BE49-F238E27FC236}">
              <a16:creationId xmlns:a16="http://schemas.microsoft.com/office/drawing/2014/main" id="{268EC385-56EA-4470-ABF1-DD6C7669E62B}"/>
            </a:ext>
          </a:extLst>
        </xdr:cNvPr>
        <xdr:cNvSpPr/>
      </xdr:nvSpPr>
      <xdr:spPr>
        <a:xfrm>
          <a:off x="17955491" y="9559636"/>
          <a:ext cx="1995054" cy="46620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 baseline="0">
              <a:solidFill>
                <a:sysClr val="windowText" lastClr="000000"/>
              </a:solidFill>
            </a:rPr>
            <a:t>1 cell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86</xdr:col>
      <xdr:colOff>0</xdr:colOff>
      <xdr:row>75</xdr:row>
      <xdr:rowOff>0</xdr:rowOff>
    </xdr:from>
    <xdr:to>
      <xdr:col>89</xdr:col>
      <xdr:colOff>0</xdr:colOff>
      <xdr:row>77</xdr:row>
      <xdr:rowOff>22860</xdr:rowOff>
    </xdr:to>
    <xdr:sp macro="" textlink="">
      <xdr:nvSpPr>
        <xdr:cNvPr id="773" name="직사각형 772">
          <a:extLst>
            <a:ext uri="{FF2B5EF4-FFF2-40B4-BE49-F238E27FC236}">
              <a16:creationId xmlns:a16="http://schemas.microsoft.com/office/drawing/2014/main" id="{0233B955-D016-48E4-BC72-48DE28E5080E}"/>
            </a:ext>
          </a:extLst>
        </xdr:cNvPr>
        <xdr:cNvSpPr/>
      </xdr:nvSpPr>
      <xdr:spPr>
        <a:xfrm>
          <a:off x="21280582" y="9559636"/>
          <a:ext cx="1995054" cy="46620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Lift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91</xdr:col>
      <xdr:colOff>0</xdr:colOff>
      <xdr:row>75</xdr:row>
      <xdr:rowOff>0</xdr:rowOff>
    </xdr:from>
    <xdr:to>
      <xdr:col>94</xdr:col>
      <xdr:colOff>0</xdr:colOff>
      <xdr:row>77</xdr:row>
      <xdr:rowOff>22860</xdr:rowOff>
    </xdr:to>
    <xdr:sp macro="" textlink="">
      <xdr:nvSpPr>
        <xdr:cNvPr id="774" name="직사각형 773">
          <a:extLst>
            <a:ext uri="{FF2B5EF4-FFF2-40B4-BE49-F238E27FC236}">
              <a16:creationId xmlns:a16="http://schemas.microsoft.com/office/drawing/2014/main" id="{CBA7694A-54DB-4196-8CA3-A093C8D26CAE}"/>
            </a:ext>
          </a:extLst>
        </xdr:cNvPr>
        <xdr:cNvSpPr/>
      </xdr:nvSpPr>
      <xdr:spPr>
        <a:xfrm>
          <a:off x="24605673" y="9559636"/>
          <a:ext cx="1995054" cy="46620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Init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67</xdr:col>
      <xdr:colOff>1</xdr:colOff>
      <xdr:row>75</xdr:row>
      <xdr:rowOff>0</xdr:rowOff>
    </xdr:from>
    <xdr:to>
      <xdr:col>69</xdr:col>
      <xdr:colOff>1</xdr:colOff>
      <xdr:row>77</xdr:row>
      <xdr:rowOff>22860</xdr:rowOff>
    </xdr:to>
    <xdr:sp macro="" textlink="">
      <xdr:nvSpPr>
        <xdr:cNvPr id="775" name="직사각형 774">
          <a:extLst>
            <a:ext uri="{FF2B5EF4-FFF2-40B4-BE49-F238E27FC236}">
              <a16:creationId xmlns:a16="http://schemas.microsoft.com/office/drawing/2014/main" id="{2D197AC8-125C-4813-96C3-5B35D7F631A1}"/>
            </a:ext>
          </a:extLst>
        </xdr:cNvPr>
        <xdr:cNvSpPr/>
      </xdr:nvSpPr>
      <xdr:spPr>
        <a:xfrm>
          <a:off x="8645237" y="9559636"/>
          <a:ext cx="1330037" cy="46620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 baseline="0">
              <a:solidFill>
                <a:sysClr val="windowText" lastClr="000000"/>
              </a:solidFill>
            </a:rPr>
            <a:t>Wall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76</xdr:col>
      <xdr:colOff>0</xdr:colOff>
      <xdr:row>113</xdr:row>
      <xdr:rowOff>198120</xdr:rowOff>
    </xdr:from>
    <xdr:to>
      <xdr:col>79</xdr:col>
      <xdr:colOff>0</xdr:colOff>
      <xdr:row>116</xdr:row>
      <xdr:rowOff>0</xdr:rowOff>
    </xdr:to>
    <xdr:sp macro="" textlink="">
      <xdr:nvSpPr>
        <xdr:cNvPr id="776" name="직사각형 775">
          <a:extLst>
            <a:ext uri="{FF2B5EF4-FFF2-40B4-BE49-F238E27FC236}">
              <a16:creationId xmlns:a16="http://schemas.microsoft.com/office/drawing/2014/main" id="{888D6C5A-8539-4917-9CC5-B440D1D44497}"/>
            </a:ext>
          </a:extLst>
        </xdr:cNvPr>
        <xdr:cNvSpPr/>
      </xdr:nvSpPr>
      <xdr:spPr>
        <a:xfrm>
          <a:off x="14630400" y="9536084"/>
          <a:ext cx="1995055" cy="46689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2</a:t>
          </a:r>
          <a:r>
            <a:rPr lang="en-US" altLang="ko-KR" sz="2800" b="1" baseline="0">
              <a:solidFill>
                <a:sysClr val="windowText" lastClr="000000"/>
              </a:solidFill>
            </a:rPr>
            <a:t> cell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71</xdr:col>
      <xdr:colOff>0</xdr:colOff>
      <xdr:row>114</xdr:row>
      <xdr:rowOff>0</xdr:rowOff>
    </xdr:from>
    <xdr:to>
      <xdr:col>74</xdr:col>
      <xdr:colOff>0</xdr:colOff>
      <xdr:row>116</xdr:row>
      <xdr:rowOff>22860</xdr:rowOff>
    </xdr:to>
    <xdr:sp macro="" textlink="">
      <xdr:nvSpPr>
        <xdr:cNvPr id="777" name="직사각형 776">
          <a:extLst>
            <a:ext uri="{FF2B5EF4-FFF2-40B4-BE49-F238E27FC236}">
              <a16:creationId xmlns:a16="http://schemas.microsoft.com/office/drawing/2014/main" id="{C1D2C6C0-215E-45BC-A881-75DC98BDF7FC}"/>
            </a:ext>
          </a:extLst>
        </xdr:cNvPr>
        <xdr:cNvSpPr/>
      </xdr:nvSpPr>
      <xdr:spPr>
        <a:xfrm>
          <a:off x="11305309" y="9559636"/>
          <a:ext cx="1995055" cy="46620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 baseline="0">
              <a:solidFill>
                <a:sysClr val="windowText" lastClr="000000"/>
              </a:solidFill>
            </a:rPr>
            <a:t>1 cell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81</xdr:col>
      <xdr:colOff>0</xdr:colOff>
      <xdr:row>114</xdr:row>
      <xdr:rowOff>0</xdr:rowOff>
    </xdr:from>
    <xdr:to>
      <xdr:col>84</xdr:col>
      <xdr:colOff>0</xdr:colOff>
      <xdr:row>116</xdr:row>
      <xdr:rowOff>22860</xdr:rowOff>
    </xdr:to>
    <xdr:sp macro="" textlink="">
      <xdr:nvSpPr>
        <xdr:cNvPr id="778" name="직사각형 777">
          <a:extLst>
            <a:ext uri="{FF2B5EF4-FFF2-40B4-BE49-F238E27FC236}">
              <a16:creationId xmlns:a16="http://schemas.microsoft.com/office/drawing/2014/main" id="{77C95C61-FD9D-4FBD-8EBD-7E95A969EAB9}"/>
            </a:ext>
          </a:extLst>
        </xdr:cNvPr>
        <xdr:cNvSpPr/>
      </xdr:nvSpPr>
      <xdr:spPr>
        <a:xfrm>
          <a:off x="17955491" y="9559636"/>
          <a:ext cx="1995054" cy="46620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 baseline="0">
              <a:solidFill>
                <a:sysClr val="windowText" lastClr="000000"/>
              </a:solidFill>
            </a:rPr>
            <a:t>1 cell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86</xdr:col>
      <xdr:colOff>0</xdr:colOff>
      <xdr:row>114</xdr:row>
      <xdr:rowOff>0</xdr:rowOff>
    </xdr:from>
    <xdr:to>
      <xdr:col>89</xdr:col>
      <xdr:colOff>0</xdr:colOff>
      <xdr:row>116</xdr:row>
      <xdr:rowOff>22860</xdr:rowOff>
    </xdr:to>
    <xdr:sp macro="" textlink="">
      <xdr:nvSpPr>
        <xdr:cNvPr id="779" name="직사각형 778">
          <a:extLst>
            <a:ext uri="{FF2B5EF4-FFF2-40B4-BE49-F238E27FC236}">
              <a16:creationId xmlns:a16="http://schemas.microsoft.com/office/drawing/2014/main" id="{81D94EB6-6235-4BF2-83F0-CF7C75C9108B}"/>
            </a:ext>
          </a:extLst>
        </xdr:cNvPr>
        <xdr:cNvSpPr/>
      </xdr:nvSpPr>
      <xdr:spPr>
        <a:xfrm>
          <a:off x="21280582" y="9559636"/>
          <a:ext cx="1995054" cy="46620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Lift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91</xdr:col>
      <xdr:colOff>0</xdr:colOff>
      <xdr:row>114</xdr:row>
      <xdr:rowOff>0</xdr:rowOff>
    </xdr:from>
    <xdr:to>
      <xdr:col>94</xdr:col>
      <xdr:colOff>0</xdr:colOff>
      <xdr:row>116</xdr:row>
      <xdr:rowOff>22860</xdr:rowOff>
    </xdr:to>
    <xdr:sp macro="" textlink="">
      <xdr:nvSpPr>
        <xdr:cNvPr id="780" name="직사각형 779">
          <a:extLst>
            <a:ext uri="{FF2B5EF4-FFF2-40B4-BE49-F238E27FC236}">
              <a16:creationId xmlns:a16="http://schemas.microsoft.com/office/drawing/2014/main" id="{6EACBA16-9821-4597-9A0A-E7F47F6A0808}"/>
            </a:ext>
          </a:extLst>
        </xdr:cNvPr>
        <xdr:cNvSpPr/>
      </xdr:nvSpPr>
      <xdr:spPr>
        <a:xfrm>
          <a:off x="24605673" y="9559636"/>
          <a:ext cx="1995054" cy="46620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Init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67</xdr:col>
      <xdr:colOff>1</xdr:colOff>
      <xdr:row>114</xdr:row>
      <xdr:rowOff>0</xdr:rowOff>
    </xdr:from>
    <xdr:to>
      <xdr:col>69</xdr:col>
      <xdr:colOff>1</xdr:colOff>
      <xdr:row>116</xdr:row>
      <xdr:rowOff>22860</xdr:rowOff>
    </xdr:to>
    <xdr:sp macro="" textlink="">
      <xdr:nvSpPr>
        <xdr:cNvPr id="781" name="직사각형 780">
          <a:extLst>
            <a:ext uri="{FF2B5EF4-FFF2-40B4-BE49-F238E27FC236}">
              <a16:creationId xmlns:a16="http://schemas.microsoft.com/office/drawing/2014/main" id="{EA96E045-530D-4867-9B92-C61FBE53C57A}"/>
            </a:ext>
          </a:extLst>
        </xdr:cNvPr>
        <xdr:cNvSpPr/>
      </xdr:nvSpPr>
      <xdr:spPr>
        <a:xfrm>
          <a:off x="8645237" y="9559636"/>
          <a:ext cx="1330037" cy="46620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 baseline="0">
              <a:solidFill>
                <a:sysClr val="windowText" lastClr="000000"/>
              </a:solidFill>
            </a:rPr>
            <a:t>Wall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76</xdr:col>
      <xdr:colOff>0</xdr:colOff>
      <xdr:row>152</xdr:row>
      <xdr:rowOff>198120</xdr:rowOff>
    </xdr:from>
    <xdr:to>
      <xdr:col>79</xdr:col>
      <xdr:colOff>0</xdr:colOff>
      <xdr:row>155</xdr:row>
      <xdr:rowOff>0</xdr:rowOff>
    </xdr:to>
    <xdr:sp macro="" textlink="">
      <xdr:nvSpPr>
        <xdr:cNvPr id="782" name="직사각형 781">
          <a:extLst>
            <a:ext uri="{FF2B5EF4-FFF2-40B4-BE49-F238E27FC236}">
              <a16:creationId xmlns:a16="http://schemas.microsoft.com/office/drawing/2014/main" id="{1DABC17B-006D-41E3-8A75-B5C6E9298736}"/>
            </a:ext>
          </a:extLst>
        </xdr:cNvPr>
        <xdr:cNvSpPr/>
      </xdr:nvSpPr>
      <xdr:spPr>
        <a:xfrm>
          <a:off x="14630400" y="9536084"/>
          <a:ext cx="1995055" cy="46689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2</a:t>
          </a:r>
          <a:r>
            <a:rPr lang="en-US" altLang="ko-KR" sz="2800" b="1" baseline="0">
              <a:solidFill>
                <a:sysClr val="windowText" lastClr="000000"/>
              </a:solidFill>
            </a:rPr>
            <a:t> cell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71</xdr:col>
      <xdr:colOff>0</xdr:colOff>
      <xdr:row>153</xdr:row>
      <xdr:rowOff>0</xdr:rowOff>
    </xdr:from>
    <xdr:to>
      <xdr:col>74</xdr:col>
      <xdr:colOff>0</xdr:colOff>
      <xdr:row>155</xdr:row>
      <xdr:rowOff>22860</xdr:rowOff>
    </xdr:to>
    <xdr:sp macro="" textlink="">
      <xdr:nvSpPr>
        <xdr:cNvPr id="783" name="직사각형 782">
          <a:extLst>
            <a:ext uri="{FF2B5EF4-FFF2-40B4-BE49-F238E27FC236}">
              <a16:creationId xmlns:a16="http://schemas.microsoft.com/office/drawing/2014/main" id="{33BF2CFC-911A-4732-BC37-67290FB8E125}"/>
            </a:ext>
          </a:extLst>
        </xdr:cNvPr>
        <xdr:cNvSpPr/>
      </xdr:nvSpPr>
      <xdr:spPr>
        <a:xfrm>
          <a:off x="11305309" y="9559636"/>
          <a:ext cx="1995055" cy="46620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 baseline="0">
              <a:solidFill>
                <a:sysClr val="windowText" lastClr="000000"/>
              </a:solidFill>
            </a:rPr>
            <a:t>1 cell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81</xdr:col>
      <xdr:colOff>0</xdr:colOff>
      <xdr:row>153</xdr:row>
      <xdr:rowOff>0</xdr:rowOff>
    </xdr:from>
    <xdr:to>
      <xdr:col>84</xdr:col>
      <xdr:colOff>0</xdr:colOff>
      <xdr:row>155</xdr:row>
      <xdr:rowOff>22860</xdr:rowOff>
    </xdr:to>
    <xdr:sp macro="" textlink="">
      <xdr:nvSpPr>
        <xdr:cNvPr id="784" name="직사각형 783">
          <a:extLst>
            <a:ext uri="{FF2B5EF4-FFF2-40B4-BE49-F238E27FC236}">
              <a16:creationId xmlns:a16="http://schemas.microsoft.com/office/drawing/2014/main" id="{749A0FB0-E575-40E6-8B67-8F86DFF1BF18}"/>
            </a:ext>
          </a:extLst>
        </xdr:cNvPr>
        <xdr:cNvSpPr/>
      </xdr:nvSpPr>
      <xdr:spPr>
        <a:xfrm>
          <a:off x="17955491" y="9559636"/>
          <a:ext cx="1995054" cy="46620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 baseline="0">
              <a:solidFill>
                <a:sysClr val="windowText" lastClr="000000"/>
              </a:solidFill>
            </a:rPr>
            <a:t>1 cell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86</xdr:col>
      <xdr:colOff>0</xdr:colOff>
      <xdr:row>153</xdr:row>
      <xdr:rowOff>0</xdr:rowOff>
    </xdr:from>
    <xdr:to>
      <xdr:col>89</xdr:col>
      <xdr:colOff>0</xdr:colOff>
      <xdr:row>155</xdr:row>
      <xdr:rowOff>22860</xdr:rowOff>
    </xdr:to>
    <xdr:sp macro="" textlink="">
      <xdr:nvSpPr>
        <xdr:cNvPr id="785" name="직사각형 784">
          <a:extLst>
            <a:ext uri="{FF2B5EF4-FFF2-40B4-BE49-F238E27FC236}">
              <a16:creationId xmlns:a16="http://schemas.microsoft.com/office/drawing/2014/main" id="{5C337D30-241D-4073-8F90-4C375390AA0D}"/>
            </a:ext>
          </a:extLst>
        </xdr:cNvPr>
        <xdr:cNvSpPr/>
      </xdr:nvSpPr>
      <xdr:spPr>
        <a:xfrm>
          <a:off x="21280582" y="9559636"/>
          <a:ext cx="1995054" cy="46620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Lift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91</xdr:col>
      <xdr:colOff>0</xdr:colOff>
      <xdr:row>153</xdr:row>
      <xdr:rowOff>0</xdr:rowOff>
    </xdr:from>
    <xdr:to>
      <xdr:col>94</xdr:col>
      <xdr:colOff>0</xdr:colOff>
      <xdr:row>155</xdr:row>
      <xdr:rowOff>22860</xdr:rowOff>
    </xdr:to>
    <xdr:sp macro="" textlink="">
      <xdr:nvSpPr>
        <xdr:cNvPr id="786" name="직사각형 785">
          <a:extLst>
            <a:ext uri="{FF2B5EF4-FFF2-40B4-BE49-F238E27FC236}">
              <a16:creationId xmlns:a16="http://schemas.microsoft.com/office/drawing/2014/main" id="{ABF8CFD2-0993-429F-8FD8-25123ECE3EEC}"/>
            </a:ext>
          </a:extLst>
        </xdr:cNvPr>
        <xdr:cNvSpPr/>
      </xdr:nvSpPr>
      <xdr:spPr>
        <a:xfrm>
          <a:off x="24605673" y="9559636"/>
          <a:ext cx="1995054" cy="46620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Init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67</xdr:col>
      <xdr:colOff>1</xdr:colOff>
      <xdr:row>153</xdr:row>
      <xdr:rowOff>0</xdr:rowOff>
    </xdr:from>
    <xdr:to>
      <xdr:col>69</xdr:col>
      <xdr:colOff>1</xdr:colOff>
      <xdr:row>155</xdr:row>
      <xdr:rowOff>22860</xdr:rowOff>
    </xdr:to>
    <xdr:sp macro="" textlink="">
      <xdr:nvSpPr>
        <xdr:cNvPr id="787" name="직사각형 786">
          <a:extLst>
            <a:ext uri="{FF2B5EF4-FFF2-40B4-BE49-F238E27FC236}">
              <a16:creationId xmlns:a16="http://schemas.microsoft.com/office/drawing/2014/main" id="{22555B93-B8EC-4BC2-A936-5968380E599B}"/>
            </a:ext>
          </a:extLst>
        </xdr:cNvPr>
        <xdr:cNvSpPr/>
      </xdr:nvSpPr>
      <xdr:spPr>
        <a:xfrm>
          <a:off x="8645237" y="9559636"/>
          <a:ext cx="1330037" cy="46620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 baseline="0">
              <a:solidFill>
                <a:sysClr val="windowText" lastClr="000000"/>
              </a:solidFill>
            </a:rPr>
            <a:t>Wall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76</xdr:col>
      <xdr:colOff>0</xdr:colOff>
      <xdr:row>191</xdr:row>
      <xdr:rowOff>198120</xdr:rowOff>
    </xdr:from>
    <xdr:to>
      <xdr:col>79</xdr:col>
      <xdr:colOff>0</xdr:colOff>
      <xdr:row>194</xdr:row>
      <xdr:rowOff>0</xdr:rowOff>
    </xdr:to>
    <xdr:sp macro="" textlink="">
      <xdr:nvSpPr>
        <xdr:cNvPr id="788" name="직사각형 787">
          <a:extLst>
            <a:ext uri="{FF2B5EF4-FFF2-40B4-BE49-F238E27FC236}">
              <a16:creationId xmlns:a16="http://schemas.microsoft.com/office/drawing/2014/main" id="{C68EF3E3-04A3-440A-AAA3-665005C5B141}"/>
            </a:ext>
          </a:extLst>
        </xdr:cNvPr>
        <xdr:cNvSpPr/>
      </xdr:nvSpPr>
      <xdr:spPr>
        <a:xfrm>
          <a:off x="14630400" y="9536084"/>
          <a:ext cx="1995055" cy="46689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2</a:t>
          </a:r>
          <a:r>
            <a:rPr lang="en-US" altLang="ko-KR" sz="2800" b="1" baseline="0">
              <a:solidFill>
                <a:sysClr val="windowText" lastClr="000000"/>
              </a:solidFill>
            </a:rPr>
            <a:t> cell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71</xdr:col>
      <xdr:colOff>0</xdr:colOff>
      <xdr:row>192</xdr:row>
      <xdr:rowOff>0</xdr:rowOff>
    </xdr:from>
    <xdr:to>
      <xdr:col>74</xdr:col>
      <xdr:colOff>0</xdr:colOff>
      <xdr:row>194</xdr:row>
      <xdr:rowOff>22860</xdr:rowOff>
    </xdr:to>
    <xdr:sp macro="" textlink="">
      <xdr:nvSpPr>
        <xdr:cNvPr id="789" name="직사각형 788">
          <a:extLst>
            <a:ext uri="{FF2B5EF4-FFF2-40B4-BE49-F238E27FC236}">
              <a16:creationId xmlns:a16="http://schemas.microsoft.com/office/drawing/2014/main" id="{2DBAC4EB-C3CC-4F6E-95A4-94BB2DF008F3}"/>
            </a:ext>
          </a:extLst>
        </xdr:cNvPr>
        <xdr:cNvSpPr/>
      </xdr:nvSpPr>
      <xdr:spPr>
        <a:xfrm>
          <a:off x="11305309" y="9559636"/>
          <a:ext cx="1995055" cy="46620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 baseline="0">
              <a:solidFill>
                <a:sysClr val="windowText" lastClr="000000"/>
              </a:solidFill>
            </a:rPr>
            <a:t>1 cell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81</xdr:col>
      <xdr:colOff>0</xdr:colOff>
      <xdr:row>192</xdr:row>
      <xdr:rowOff>0</xdr:rowOff>
    </xdr:from>
    <xdr:to>
      <xdr:col>84</xdr:col>
      <xdr:colOff>0</xdr:colOff>
      <xdr:row>194</xdr:row>
      <xdr:rowOff>22860</xdr:rowOff>
    </xdr:to>
    <xdr:sp macro="" textlink="">
      <xdr:nvSpPr>
        <xdr:cNvPr id="790" name="직사각형 789">
          <a:extLst>
            <a:ext uri="{FF2B5EF4-FFF2-40B4-BE49-F238E27FC236}">
              <a16:creationId xmlns:a16="http://schemas.microsoft.com/office/drawing/2014/main" id="{001E0A52-C808-4044-9D95-60209F2D9AA8}"/>
            </a:ext>
          </a:extLst>
        </xdr:cNvPr>
        <xdr:cNvSpPr/>
      </xdr:nvSpPr>
      <xdr:spPr>
        <a:xfrm>
          <a:off x="17955491" y="9559636"/>
          <a:ext cx="1995054" cy="46620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 baseline="0">
              <a:solidFill>
                <a:sysClr val="windowText" lastClr="000000"/>
              </a:solidFill>
            </a:rPr>
            <a:t>1 cell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86</xdr:col>
      <xdr:colOff>0</xdr:colOff>
      <xdr:row>192</xdr:row>
      <xdr:rowOff>0</xdr:rowOff>
    </xdr:from>
    <xdr:to>
      <xdr:col>89</xdr:col>
      <xdr:colOff>0</xdr:colOff>
      <xdr:row>194</xdr:row>
      <xdr:rowOff>22860</xdr:rowOff>
    </xdr:to>
    <xdr:sp macro="" textlink="">
      <xdr:nvSpPr>
        <xdr:cNvPr id="791" name="직사각형 790">
          <a:extLst>
            <a:ext uri="{FF2B5EF4-FFF2-40B4-BE49-F238E27FC236}">
              <a16:creationId xmlns:a16="http://schemas.microsoft.com/office/drawing/2014/main" id="{20579873-46C6-4234-8AFE-03C7573A78F1}"/>
            </a:ext>
          </a:extLst>
        </xdr:cNvPr>
        <xdr:cNvSpPr/>
      </xdr:nvSpPr>
      <xdr:spPr>
        <a:xfrm>
          <a:off x="21280582" y="9559636"/>
          <a:ext cx="1995054" cy="46620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Lift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91</xdr:col>
      <xdr:colOff>0</xdr:colOff>
      <xdr:row>192</xdr:row>
      <xdr:rowOff>0</xdr:rowOff>
    </xdr:from>
    <xdr:to>
      <xdr:col>94</xdr:col>
      <xdr:colOff>0</xdr:colOff>
      <xdr:row>194</xdr:row>
      <xdr:rowOff>22860</xdr:rowOff>
    </xdr:to>
    <xdr:sp macro="" textlink="">
      <xdr:nvSpPr>
        <xdr:cNvPr id="792" name="직사각형 791">
          <a:extLst>
            <a:ext uri="{FF2B5EF4-FFF2-40B4-BE49-F238E27FC236}">
              <a16:creationId xmlns:a16="http://schemas.microsoft.com/office/drawing/2014/main" id="{4764F562-9098-48C1-988D-F908107AAEBE}"/>
            </a:ext>
          </a:extLst>
        </xdr:cNvPr>
        <xdr:cNvSpPr/>
      </xdr:nvSpPr>
      <xdr:spPr>
        <a:xfrm>
          <a:off x="24605673" y="9559636"/>
          <a:ext cx="1995054" cy="46620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Init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67</xdr:col>
      <xdr:colOff>1</xdr:colOff>
      <xdr:row>192</xdr:row>
      <xdr:rowOff>0</xdr:rowOff>
    </xdr:from>
    <xdr:to>
      <xdr:col>69</xdr:col>
      <xdr:colOff>1</xdr:colOff>
      <xdr:row>194</xdr:row>
      <xdr:rowOff>22860</xdr:rowOff>
    </xdr:to>
    <xdr:sp macro="" textlink="">
      <xdr:nvSpPr>
        <xdr:cNvPr id="793" name="직사각형 792">
          <a:extLst>
            <a:ext uri="{FF2B5EF4-FFF2-40B4-BE49-F238E27FC236}">
              <a16:creationId xmlns:a16="http://schemas.microsoft.com/office/drawing/2014/main" id="{B7E792F6-A58B-4FD5-839E-94B0C517A550}"/>
            </a:ext>
          </a:extLst>
        </xdr:cNvPr>
        <xdr:cNvSpPr/>
      </xdr:nvSpPr>
      <xdr:spPr>
        <a:xfrm>
          <a:off x="8645237" y="9559636"/>
          <a:ext cx="1330037" cy="46620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 baseline="0">
              <a:solidFill>
                <a:sysClr val="windowText" lastClr="000000"/>
              </a:solidFill>
            </a:rPr>
            <a:t>Wall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76</xdr:col>
      <xdr:colOff>0</xdr:colOff>
      <xdr:row>230</xdr:row>
      <xdr:rowOff>198120</xdr:rowOff>
    </xdr:from>
    <xdr:to>
      <xdr:col>79</xdr:col>
      <xdr:colOff>0</xdr:colOff>
      <xdr:row>233</xdr:row>
      <xdr:rowOff>0</xdr:rowOff>
    </xdr:to>
    <xdr:sp macro="" textlink="">
      <xdr:nvSpPr>
        <xdr:cNvPr id="794" name="직사각형 793">
          <a:extLst>
            <a:ext uri="{FF2B5EF4-FFF2-40B4-BE49-F238E27FC236}">
              <a16:creationId xmlns:a16="http://schemas.microsoft.com/office/drawing/2014/main" id="{B91343EB-DF5B-40EF-9D62-F95444CB33B5}"/>
            </a:ext>
          </a:extLst>
        </xdr:cNvPr>
        <xdr:cNvSpPr/>
      </xdr:nvSpPr>
      <xdr:spPr>
        <a:xfrm>
          <a:off x="14630400" y="9536084"/>
          <a:ext cx="1995055" cy="46689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2</a:t>
          </a:r>
          <a:r>
            <a:rPr lang="en-US" altLang="ko-KR" sz="2800" b="1" baseline="0">
              <a:solidFill>
                <a:sysClr val="windowText" lastClr="000000"/>
              </a:solidFill>
            </a:rPr>
            <a:t> cell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71</xdr:col>
      <xdr:colOff>0</xdr:colOff>
      <xdr:row>231</xdr:row>
      <xdr:rowOff>0</xdr:rowOff>
    </xdr:from>
    <xdr:to>
      <xdr:col>74</xdr:col>
      <xdr:colOff>0</xdr:colOff>
      <xdr:row>233</xdr:row>
      <xdr:rowOff>22860</xdr:rowOff>
    </xdr:to>
    <xdr:sp macro="" textlink="">
      <xdr:nvSpPr>
        <xdr:cNvPr id="795" name="직사각형 794">
          <a:extLst>
            <a:ext uri="{FF2B5EF4-FFF2-40B4-BE49-F238E27FC236}">
              <a16:creationId xmlns:a16="http://schemas.microsoft.com/office/drawing/2014/main" id="{83F9A2D9-E223-45E7-BA62-BD6F62563368}"/>
            </a:ext>
          </a:extLst>
        </xdr:cNvPr>
        <xdr:cNvSpPr/>
      </xdr:nvSpPr>
      <xdr:spPr>
        <a:xfrm>
          <a:off x="11305309" y="9559636"/>
          <a:ext cx="1995055" cy="46620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 baseline="0">
              <a:solidFill>
                <a:sysClr val="windowText" lastClr="000000"/>
              </a:solidFill>
            </a:rPr>
            <a:t>1 cell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81</xdr:col>
      <xdr:colOff>0</xdr:colOff>
      <xdr:row>231</xdr:row>
      <xdr:rowOff>0</xdr:rowOff>
    </xdr:from>
    <xdr:to>
      <xdr:col>84</xdr:col>
      <xdr:colOff>0</xdr:colOff>
      <xdr:row>233</xdr:row>
      <xdr:rowOff>22860</xdr:rowOff>
    </xdr:to>
    <xdr:sp macro="" textlink="">
      <xdr:nvSpPr>
        <xdr:cNvPr id="796" name="직사각형 795">
          <a:extLst>
            <a:ext uri="{FF2B5EF4-FFF2-40B4-BE49-F238E27FC236}">
              <a16:creationId xmlns:a16="http://schemas.microsoft.com/office/drawing/2014/main" id="{94426C9E-E793-47C8-A7F4-96A182F1AC8A}"/>
            </a:ext>
          </a:extLst>
        </xdr:cNvPr>
        <xdr:cNvSpPr/>
      </xdr:nvSpPr>
      <xdr:spPr>
        <a:xfrm>
          <a:off x="17955491" y="9559636"/>
          <a:ext cx="1995054" cy="46620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 baseline="0">
              <a:solidFill>
                <a:sysClr val="windowText" lastClr="000000"/>
              </a:solidFill>
            </a:rPr>
            <a:t>1 cell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86</xdr:col>
      <xdr:colOff>0</xdr:colOff>
      <xdr:row>231</xdr:row>
      <xdr:rowOff>0</xdr:rowOff>
    </xdr:from>
    <xdr:to>
      <xdr:col>89</xdr:col>
      <xdr:colOff>0</xdr:colOff>
      <xdr:row>233</xdr:row>
      <xdr:rowOff>22860</xdr:rowOff>
    </xdr:to>
    <xdr:sp macro="" textlink="">
      <xdr:nvSpPr>
        <xdr:cNvPr id="797" name="직사각형 796">
          <a:extLst>
            <a:ext uri="{FF2B5EF4-FFF2-40B4-BE49-F238E27FC236}">
              <a16:creationId xmlns:a16="http://schemas.microsoft.com/office/drawing/2014/main" id="{152E22FB-7E43-48D3-89D6-0780A2F3CD43}"/>
            </a:ext>
          </a:extLst>
        </xdr:cNvPr>
        <xdr:cNvSpPr/>
      </xdr:nvSpPr>
      <xdr:spPr>
        <a:xfrm>
          <a:off x="21280582" y="9559636"/>
          <a:ext cx="1995054" cy="46620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Lift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91</xdr:col>
      <xdr:colOff>0</xdr:colOff>
      <xdr:row>231</xdr:row>
      <xdr:rowOff>0</xdr:rowOff>
    </xdr:from>
    <xdr:to>
      <xdr:col>94</xdr:col>
      <xdr:colOff>0</xdr:colOff>
      <xdr:row>233</xdr:row>
      <xdr:rowOff>22860</xdr:rowOff>
    </xdr:to>
    <xdr:sp macro="" textlink="">
      <xdr:nvSpPr>
        <xdr:cNvPr id="798" name="직사각형 797">
          <a:extLst>
            <a:ext uri="{FF2B5EF4-FFF2-40B4-BE49-F238E27FC236}">
              <a16:creationId xmlns:a16="http://schemas.microsoft.com/office/drawing/2014/main" id="{86849F55-5A4B-493A-8B7F-2ACB3E15DBD4}"/>
            </a:ext>
          </a:extLst>
        </xdr:cNvPr>
        <xdr:cNvSpPr/>
      </xdr:nvSpPr>
      <xdr:spPr>
        <a:xfrm>
          <a:off x="24605673" y="9559636"/>
          <a:ext cx="1995054" cy="46620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Init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67</xdr:col>
      <xdr:colOff>1</xdr:colOff>
      <xdr:row>231</xdr:row>
      <xdr:rowOff>0</xdr:rowOff>
    </xdr:from>
    <xdr:to>
      <xdr:col>69</xdr:col>
      <xdr:colOff>1</xdr:colOff>
      <xdr:row>233</xdr:row>
      <xdr:rowOff>22860</xdr:rowOff>
    </xdr:to>
    <xdr:sp macro="" textlink="">
      <xdr:nvSpPr>
        <xdr:cNvPr id="799" name="직사각형 798">
          <a:extLst>
            <a:ext uri="{FF2B5EF4-FFF2-40B4-BE49-F238E27FC236}">
              <a16:creationId xmlns:a16="http://schemas.microsoft.com/office/drawing/2014/main" id="{3804778C-6C0D-4A8F-BF0D-A79BB4B06092}"/>
            </a:ext>
          </a:extLst>
        </xdr:cNvPr>
        <xdr:cNvSpPr/>
      </xdr:nvSpPr>
      <xdr:spPr>
        <a:xfrm>
          <a:off x="8645237" y="9559636"/>
          <a:ext cx="1330037" cy="46620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 baseline="0">
              <a:solidFill>
                <a:sysClr val="windowText" lastClr="000000"/>
              </a:solidFill>
            </a:rPr>
            <a:t>Wall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76</xdr:col>
      <xdr:colOff>0</xdr:colOff>
      <xdr:row>269</xdr:row>
      <xdr:rowOff>198120</xdr:rowOff>
    </xdr:from>
    <xdr:to>
      <xdr:col>79</xdr:col>
      <xdr:colOff>0</xdr:colOff>
      <xdr:row>272</xdr:row>
      <xdr:rowOff>0</xdr:rowOff>
    </xdr:to>
    <xdr:sp macro="" textlink="">
      <xdr:nvSpPr>
        <xdr:cNvPr id="800" name="직사각형 799">
          <a:extLst>
            <a:ext uri="{FF2B5EF4-FFF2-40B4-BE49-F238E27FC236}">
              <a16:creationId xmlns:a16="http://schemas.microsoft.com/office/drawing/2014/main" id="{3EF7893A-BFE4-4D43-8F0E-9BAA7FA26456}"/>
            </a:ext>
          </a:extLst>
        </xdr:cNvPr>
        <xdr:cNvSpPr/>
      </xdr:nvSpPr>
      <xdr:spPr>
        <a:xfrm>
          <a:off x="14630400" y="9536084"/>
          <a:ext cx="1995055" cy="46689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2</a:t>
          </a:r>
          <a:r>
            <a:rPr lang="en-US" altLang="ko-KR" sz="2800" b="1" baseline="0">
              <a:solidFill>
                <a:sysClr val="windowText" lastClr="000000"/>
              </a:solidFill>
            </a:rPr>
            <a:t> cell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71</xdr:col>
      <xdr:colOff>0</xdr:colOff>
      <xdr:row>270</xdr:row>
      <xdr:rowOff>0</xdr:rowOff>
    </xdr:from>
    <xdr:to>
      <xdr:col>74</xdr:col>
      <xdr:colOff>0</xdr:colOff>
      <xdr:row>272</xdr:row>
      <xdr:rowOff>22860</xdr:rowOff>
    </xdr:to>
    <xdr:sp macro="" textlink="">
      <xdr:nvSpPr>
        <xdr:cNvPr id="801" name="직사각형 800">
          <a:extLst>
            <a:ext uri="{FF2B5EF4-FFF2-40B4-BE49-F238E27FC236}">
              <a16:creationId xmlns:a16="http://schemas.microsoft.com/office/drawing/2014/main" id="{1AD9E39F-A3FC-4AA2-A31D-ADEEEC479E50}"/>
            </a:ext>
          </a:extLst>
        </xdr:cNvPr>
        <xdr:cNvSpPr/>
      </xdr:nvSpPr>
      <xdr:spPr>
        <a:xfrm>
          <a:off x="11305309" y="9559636"/>
          <a:ext cx="1995055" cy="46620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 baseline="0">
              <a:solidFill>
                <a:sysClr val="windowText" lastClr="000000"/>
              </a:solidFill>
            </a:rPr>
            <a:t>1 cell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81</xdr:col>
      <xdr:colOff>0</xdr:colOff>
      <xdr:row>270</xdr:row>
      <xdr:rowOff>0</xdr:rowOff>
    </xdr:from>
    <xdr:to>
      <xdr:col>84</xdr:col>
      <xdr:colOff>0</xdr:colOff>
      <xdr:row>272</xdr:row>
      <xdr:rowOff>22860</xdr:rowOff>
    </xdr:to>
    <xdr:sp macro="" textlink="">
      <xdr:nvSpPr>
        <xdr:cNvPr id="802" name="직사각형 801">
          <a:extLst>
            <a:ext uri="{FF2B5EF4-FFF2-40B4-BE49-F238E27FC236}">
              <a16:creationId xmlns:a16="http://schemas.microsoft.com/office/drawing/2014/main" id="{F8E20CAD-0EE5-463E-89CE-4503EDF6F6B5}"/>
            </a:ext>
          </a:extLst>
        </xdr:cNvPr>
        <xdr:cNvSpPr/>
      </xdr:nvSpPr>
      <xdr:spPr>
        <a:xfrm>
          <a:off x="17955491" y="9559636"/>
          <a:ext cx="1995054" cy="46620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 baseline="0">
              <a:solidFill>
                <a:sysClr val="windowText" lastClr="000000"/>
              </a:solidFill>
            </a:rPr>
            <a:t>1 cell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86</xdr:col>
      <xdr:colOff>0</xdr:colOff>
      <xdr:row>270</xdr:row>
      <xdr:rowOff>0</xdr:rowOff>
    </xdr:from>
    <xdr:to>
      <xdr:col>89</xdr:col>
      <xdr:colOff>0</xdr:colOff>
      <xdr:row>272</xdr:row>
      <xdr:rowOff>22860</xdr:rowOff>
    </xdr:to>
    <xdr:sp macro="" textlink="">
      <xdr:nvSpPr>
        <xdr:cNvPr id="803" name="직사각형 802">
          <a:extLst>
            <a:ext uri="{FF2B5EF4-FFF2-40B4-BE49-F238E27FC236}">
              <a16:creationId xmlns:a16="http://schemas.microsoft.com/office/drawing/2014/main" id="{FFC60E5F-3003-41FC-9854-5D827914414F}"/>
            </a:ext>
          </a:extLst>
        </xdr:cNvPr>
        <xdr:cNvSpPr/>
      </xdr:nvSpPr>
      <xdr:spPr>
        <a:xfrm>
          <a:off x="21280582" y="9559636"/>
          <a:ext cx="1995054" cy="46620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Lift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91</xdr:col>
      <xdr:colOff>0</xdr:colOff>
      <xdr:row>270</xdr:row>
      <xdr:rowOff>0</xdr:rowOff>
    </xdr:from>
    <xdr:to>
      <xdr:col>94</xdr:col>
      <xdr:colOff>0</xdr:colOff>
      <xdr:row>272</xdr:row>
      <xdr:rowOff>22860</xdr:rowOff>
    </xdr:to>
    <xdr:sp macro="" textlink="">
      <xdr:nvSpPr>
        <xdr:cNvPr id="804" name="직사각형 803">
          <a:extLst>
            <a:ext uri="{FF2B5EF4-FFF2-40B4-BE49-F238E27FC236}">
              <a16:creationId xmlns:a16="http://schemas.microsoft.com/office/drawing/2014/main" id="{62A89A7E-3CB0-4A01-B1C3-5194DB3EF0AD}"/>
            </a:ext>
          </a:extLst>
        </xdr:cNvPr>
        <xdr:cNvSpPr/>
      </xdr:nvSpPr>
      <xdr:spPr>
        <a:xfrm>
          <a:off x="24605673" y="9559636"/>
          <a:ext cx="1995054" cy="46620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Init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67</xdr:col>
      <xdr:colOff>1</xdr:colOff>
      <xdr:row>270</xdr:row>
      <xdr:rowOff>0</xdr:rowOff>
    </xdr:from>
    <xdr:to>
      <xdr:col>69</xdr:col>
      <xdr:colOff>1</xdr:colOff>
      <xdr:row>272</xdr:row>
      <xdr:rowOff>22860</xdr:rowOff>
    </xdr:to>
    <xdr:sp macro="" textlink="">
      <xdr:nvSpPr>
        <xdr:cNvPr id="805" name="직사각형 804">
          <a:extLst>
            <a:ext uri="{FF2B5EF4-FFF2-40B4-BE49-F238E27FC236}">
              <a16:creationId xmlns:a16="http://schemas.microsoft.com/office/drawing/2014/main" id="{E6C57A95-7CB7-415F-AB4D-4BA61DAE3F33}"/>
            </a:ext>
          </a:extLst>
        </xdr:cNvPr>
        <xdr:cNvSpPr/>
      </xdr:nvSpPr>
      <xdr:spPr>
        <a:xfrm>
          <a:off x="8645237" y="9559636"/>
          <a:ext cx="1330037" cy="46620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 baseline="0">
              <a:solidFill>
                <a:sysClr val="windowText" lastClr="000000"/>
              </a:solidFill>
            </a:rPr>
            <a:t>Wall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0</xdr:colOff>
      <xdr:row>29</xdr:row>
      <xdr:rowOff>0</xdr:rowOff>
    </xdr:from>
    <xdr:to>
      <xdr:col>15</xdr:col>
      <xdr:colOff>0</xdr:colOff>
      <xdr:row>31</xdr:row>
      <xdr:rowOff>22860</xdr:rowOff>
    </xdr:to>
    <xdr:sp macro="" textlink="">
      <xdr:nvSpPr>
        <xdr:cNvPr id="806" name="직사각형 805">
          <a:extLst>
            <a:ext uri="{FF2B5EF4-FFF2-40B4-BE49-F238E27FC236}">
              <a16:creationId xmlns:a16="http://schemas.microsoft.com/office/drawing/2014/main" id="{3B76763E-822E-4E7E-9709-88D636C6DFC8}"/>
            </a:ext>
          </a:extLst>
        </xdr:cNvPr>
        <xdr:cNvSpPr/>
      </xdr:nvSpPr>
      <xdr:spPr>
        <a:xfrm>
          <a:off x="7980218" y="6442364"/>
          <a:ext cx="1995055" cy="46620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 baseline="0">
              <a:solidFill>
                <a:sysClr val="windowText" lastClr="000000"/>
              </a:solidFill>
            </a:rPr>
            <a:t>1st floor</a:t>
          </a:r>
        </a:p>
      </xdr:txBody>
    </xdr:sp>
    <xdr:clientData/>
  </xdr:twoCellAnchor>
  <xdr:twoCellAnchor>
    <xdr:from>
      <xdr:col>12</xdr:col>
      <xdr:colOff>0</xdr:colOff>
      <xdr:row>19</xdr:row>
      <xdr:rowOff>0</xdr:rowOff>
    </xdr:from>
    <xdr:to>
      <xdr:col>15</xdr:col>
      <xdr:colOff>0</xdr:colOff>
      <xdr:row>21</xdr:row>
      <xdr:rowOff>22859</xdr:rowOff>
    </xdr:to>
    <xdr:sp macro="" textlink="">
      <xdr:nvSpPr>
        <xdr:cNvPr id="807" name="직사각형 806">
          <a:extLst>
            <a:ext uri="{FF2B5EF4-FFF2-40B4-BE49-F238E27FC236}">
              <a16:creationId xmlns:a16="http://schemas.microsoft.com/office/drawing/2014/main" id="{86452AD8-C3AE-4356-A62E-743A48E0D610}"/>
            </a:ext>
          </a:extLst>
        </xdr:cNvPr>
        <xdr:cNvSpPr/>
      </xdr:nvSpPr>
      <xdr:spPr>
        <a:xfrm>
          <a:off x="7980218" y="4225636"/>
          <a:ext cx="1995055" cy="46620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 baseline="0">
              <a:solidFill>
                <a:sysClr val="windowText" lastClr="000000"/>
              </a:solidFill>
            </a:rPr>
            <a:t>2nd floor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0</xdr:colOff>
      <xdr:row>11</xdr:row>
      <xdr:rowOff>0</xdr:rowOff>
    </xdr:from>
    <xdr:to>
      <xdr:col>15</xdr:col>
      <xdr:colOff>0</xdr:colOff>
      <xdr:row>13</xdr:row>
      <xdr:rowOff>22860</xdr:rowOff>
    </xdr:to>
    <xdr:sp macro="" textlink="">
      <xdr:nvSpPr>
        <xdr:cNvPr id="808" name="직사각형 807">
          <a:extLst>
            <a:ext uri="{FF2B5EF4-FFF2-40B4-BE49-F238E27FC236}">
              <a16:creationId xmlns:a16="http://schemas.microsoft.com/office/drawing/2014/main" id="{DBCAD444-5D97-4976-AA56-FA4E4025A932}"/>
            </a:ext>
          </a:extLst>
        </xdr:cNvPr>
        <xdr:cNvSpPr/>
      </xdr:nvSpPr>
      <xdr:spPr>
        <a:xfrm>
          <a:off x="7980218" y="2452255"/>
          <a:ext cx="1995055" cy="46620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 baseline="0">
              <a:solidFill>
                <a:sysClr val="windowText" lastClr="000000"/>
              </a:solidFill>
            </a:rPr>
            <a:t>3rd floor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36</xdr:col>
      <xdr:colOff>0</xdr:colOff>
      <xdr:row>63</xdr:row>
      <xdr:rowOff>216639</xdr:rowOff>
    </xdr:from>
    <xdr:to>
      <xdr:col>41</xdr:col>
      <xdr:colOff>0</xdr:colOff>
      <xdr:row>73</xdr:row>
      <xdr:rowOff>0</xdr:rowOff>
    </xdr:to>
    <xdr:grpSp>
      <xdr:nvGrpSpPr>
        <xdr:cNvPr id="819" name="그룹 818">
          <a:extLst>
            <a:ext uri="{FF2B5EF4-FFF2-40B4-BE49-F238E27FC236}">
              <a16:creationId xmlns:a16="http://schemas.microsoft.com/office/drawing/2014/main" id="{BE615ECB-1457-49FD-8148-089628CB44CF}"/>
            </a:ext>
          </a:extLst>
        </xdr:cNvPr>
        <xdr:cNvGrpSpPr/>
      </xdr:nvGrpSpPr>
      <xdr:grpSpPr>
        <a:xfrm>
          <a:off x="24314727" y="14400230"/>
          <a:ext cx="3377046" cy="2034725"/>
          <a:chOff x="19378246" y="7789747"/>
          <a:chExt cx="3341077" cy="2010745"/>
        </a:xfrm>
      </xdr:grpSpPr>
      <xdr:sp macro="" textlink="">
        <xdr:nvSpPr>
          <xdr:cNvPr id="820" name="직사각형 819">
            <a:extLst>
              <a:ext uri="{FF2B5EF4-FFF2-40B4-BE49-F238E27FC236}">
                <a16:creationId xmlns:a16="http://schemas.microsoft.com/office/drawing/2014/main" id="{4C458B1A-F0DD-18D3-2328-0656F0AE6CA8}"/>
              </a:ext>
            </a:extLst>
          </xdr:cNvPr>
          <xdr:cNvSpPr/>
        </xdr:nvSpPr>
        <xdr:spPr>
          <a:xfrm>
            <a:off x="19378247" y="9577755"/>
            <a:ext cx="3341076" cy="222737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21" name="직사각형 820">
            <a:extLst>
              <a:ext uri="{FF2B5EF4-FFF2-40B4-BE49-F238E27FC236}">
                <a16:creationId xmlns:a16="http://schemas.microsoft.com/office/drawing/2014/main" id="{06CF8BAF-F0E8-478B-5BDA-628B7906D8C6}"/>
              </a:ext>
            </a:extLst>
          </xdr:cNvPr>
          <xdr:cNvSpPr/>
        </xdr:nvSpPr>
        <xdr:spPr>
          <a:xfrm>
            <a:off x="19378246" y="7793789"/>
            <a:ext cx="334287" cy="2006703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22" name="직사각형 821">
            <a:extLst>
              <a:ext uri="{FF2B5EF4-FFF2-40B4-BE49-F238E27FC236}">
                <a16:creationId xmlns:a16="http://schemas.microsoft.com/office/drawing/2014/main" id="{0F00AFC4-AF58-BB5F-B472-B0B98E5F5DCA}"/>
              </a:ext>
            </a:extLst>
          </xdr:cNvPr>
          <xdr:cNvSpPr/>
        </xdr:nvSpPr>
        <xdr:spPr>
          <a:xfrm>
            <a:off x="22383886" y="7789747"/>
            <a:ext cx="335437" cy="2010745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16</xdr:col>
      <xdr:colOff>0</xdr:colOff>
      <xdr:row>73</xdr:row>
      <xdr:rowOff>0</xdr:rowOff>
    </xdr:from>
    <xdr:to>
      <xdr:col>41</xdr:col>
      <xdr:colOff>0</xdr:colOff>
      <xdr:row>73</xdr:row>
      <xdr:rowOff>224117</xdr:rowOff>
    </xdr:to>
    <xdr:sp macro="" textlink="">
      <xdr:nvSpPr>
        <xdr:cNvPr id="849" name="직사각형 848">
          <a:extLst>
            <a:ext uri="{FF2B5EF4-FFF2-40B4-BE49-F238E27FC236}">
              <a16:creationId xmlns:a16="http://schemas.microsoft.com/office/drawing/2014/main" id="{6F4F73E2-BCA7-45BF-AB42-C7596BBB7B63}"/>
            </a:ext>
          </a:extLst>
        </xdr:cNvPr>
        <xdr:cNvSpPr/>
      </xdr:nvSpPr>
      <xdr:spPr>
        <a:xfrm flipV="1">
          <a:off x="10640291" y="7772400"/>
          <a:ext cx="16625454" cy="224117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1</xdr:colOff>
      <xdr:row>44</xdr:row>
      <xdr:rowOff>221671</xdr:rowOff>
    </xdr:from>
    <xdr:to>
      <xdr:col>15</xdr:col>
      <xdr:colOff>1</xdr:colOff>
      <xdr:row>74</xdr:row>
      <xdr:rowOff>0</xdr:rowOff>
    </xdr:to>
    <xdr:sp macro="" textlink="">
      <xdr:nvSpPr>
        <xdr:cNvPr id="850" name="직사각형 849">
          <a:extLst>
            <a:ext uri="{FF2B5EF4-FFF2-40B4-BE49-F238E27FC236}">
              <a16:creationId xmlns:a16="http://schemas.microsoft.com/office/drawing/2014/main" id="{0AB397D9-A502-4D51-8E3F-425BA316BCAC}"/>
            </a:ext>
          </a:extLst>
        </xdr:cNvPr>
        <xdr:cNvSpPr/>
      </xdr:nvSpPr>
      <xdr:spPr>
        <a:xfrm>
          <a:off x="5985165" y="10016835"/>
          <a:ext cx="1330036" cy="642851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0</xdr:colOff>
      <xdr:row>75</xdr:row>
      <xdr:rowOff>0</xdr:rowOff>
    </xdr:from>
    <xdr:to>
      <xdr:col>25</xdr:col>
      <xdr:colOff>0</xdr:colOff>
      <xdr:row>77</xdr:row>
      <xdr:rowOff>37406</xdr:rowOff>
    </xdr:to>
    <xdr:sp macro="" textlink="">
      <xdr:nvSpPr>
        <xdr:cNvPr id="851" name="직사각형 850">
          <a:extLst>
            <a:ext uri="{FF2B5EF4-FFF2-40B4-BE49-F238E27FC236}">
              <a16:creationId xmlns:a16="http://schemas.microsoft.com/office/drawing/2014/main" id="{10AF771D-E49E-40CF-82E4-575E8EE4D528}"/>
            </a:ext>
          </a:extLst>
        </xdr:cNvPr>
        <xdr:cNvSpPr/>
      </xdr:nvSpPr>
      <xdr:spPr>
        <a:xfrm>
          <a:off x="14630400" y="8215745"/>
          <a:ext cx="1995055" cy="480752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2</a:t>
          </a:r>
          <a:r>
            <a:rPr lang="en-US" altLang="ko-KR" sz="2800" b="1" baseline="0">
              <a:solidFill>
                <a:sysClr val="windowText" lastClr="000000"/>
              </a:solidFill>
            </a:rPr>
            <a:t> cell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0</xdr:colOff>
      <xdr:row>75</xdr:row>
      <xdr:rowOff>0</xdr:rowOff>
    </xdr:from>
    <xdr:to>
      <xdr:col>20</xdr:col>
      <xdr:colOff>0</xdr:colOff>
      <xdr:row>77</xdr:row>
      <xdr:rowOff>22859</xdr:rowOff>
    </xdr:to>
    <xdr:sp macro="" textlink="">
      <xdr:nvSpPr>
        <xdr:cNvPr id="852" name="직사각형 851">
          <a:extLst>
            <a:ext uri="{FF2B5EF4-FFF2-40B4-BE49-F238E27FC236}">
              <a16:creationId xmlns:a16="http://schemas.microsoft.com/office/drawing/2014/main" id="{B2F5C94B-E5BD-43CD-B0D5-474802C109A0}"/>
            </a:ext>
          </a:extLst>
        </xdr:cNvPr>
        <xdr:cNvSpPr/>
      </xdr:nvSpPr>
      <xdr:spPr>
        <a:xfrm>
          <a:off x="11305309" y="8215745"/>
          <a:ext cx="1995055" cy="46620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 baseline="0">
              <a:solidFill>
                <a:sysClr val="windowText" lastClr="000000"/>
              </a:solidFill>
            </a:rPr>
            <a:t>3 cell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0</xdr:colOff>
      <xdr:row>75</xdr:row>
      <xdr:rowOff>0</xdr:rowOff>
    </xdr:from>
    <xdr:to>
      <xdr:col>30</xdr:col>
      <xdr:colOff>0</xdr:colOff>
      <xdr:row>77</xdr:row>
      <xdr:rowOff>22859</xdr:rowOff>
    </xdr:to>
    <xdr:sp macro="" textlink="">
      <xdr:nvSpPr>
        <xdr:cNvPr id="853" name="직사각형 852">
          <a:extLst>
            <a:ext uri="{FF2B5EF4-FFF2-40B4-BE49-F238E27FC236}">
              <a16:creationId xmlns:a16="http://schemas.microsoft.com/office/drawing/2014/main" id="{0C85BCDC-FC61-46CD-8B50-573A4A35624B}"/>
            </a:ext>
          </a:extLst>
        </xdr:cNvPr>
        <xdr:cNvSpPr/>
      </xdr:nvSpPr>
      <xdr:spPr>
        <a:xfrm>
          <a:off x="17955491" y="8215745"/>
          <a:ext cx="1995054" cy="46620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 baseline="0">
              <a:solidFill>
                <a:sysClr val="windowText" lastClr="000000"/>
              </a:solidFill>
            </a:rPr>
            <a:t>1 cell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32</xdr:col>
      <xdr:colOff>0</xdr:colOff>
      <xdr:row>75</xdr:row>
      <xdr:rowOff>0</xdr:rowOff>
    </xdr:from>
    <xdr:to>
      <xdr:col>35</xdr:col>
      <xdr:colOff>0</xdr:colOff>
      <xdr:row>77</xdr:row>
      <xdr:rowOff>22859</xdr:rowOff>
    </xdr:to>
    <xdr:sp macro="" textlink="">
      <xdr:nvSpPr>
        <xdr:cNvPr id="854" name="직사각형 853">
          <a:extLst>
            <a:ext uri="{FF2B5EF4-FFF2-40B4-BE49-F238E27FC236}">
              <a16:creationId xmlns:a16="http://schemas.microsoft.com/office/drawing/2014/main" id="{246A08FB-0535-4EBF-B1C1-775FFB685228}"/>
            </a:ext>
          </a:extLst>
        </xdr:cNvPr>
        <xdr:cNvSpPr/>
      </xdr:nvSpPr>
      <xdr:spPr>
        <a:xfrm>
          <a:off x="21280582" y="8215745"/>
          <a:ext cx="1995054" cy="46620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Lift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37</xdr:col>
      <xdr:colOff>0</xdr:colOff>
      <xdr:row>75</xdr:row>
      <xdr:rowOff>0</xdr:rowOff>
    </xdr:from>
    <xdr:to>
      <xdr:col>40</xdr:col>
      <xdr:colOff>0</xdr:colOff>
      <xdr:row>77</xdr:row>
      <xdr:rowOff>22859</xdr:rowOff>
    </xdr:to>
    <xdr:sp macro="" textlink="">
      <xdr:nvSpPr>
        <xdr:cNvPr id="855" name="직사각형 854">
          <a:extLst>
            <a:ext uri="{FF2B5EF4-FFF2-40B4-BE49-F238E27FC236}">
              <a16:creationId xmlns:a16="http://schemas.microsoft.com/office/drawing/2014/main" id="{537185C0-A9E9-48F5-8AFC-092109D9C4BE}"/>
            </a:ext>
          </a:extLst>
        </xdr:cNvPr>
        <xdr:cNvSpPr/>
      </xdr:nvSpPr>
      <xdr:spPr>
        <a:xfrm>
          <a:off x="24605673" y="8215745"/>
          <a:ext cx="1995054" cy="46620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Init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-1</xdr:colOff>
      <xdr:row>74</xdr:row>
      <xdr:rowOff>198813</xdr:rowOff>
    </xdr:from>
    <xdr:to>
      <xdr:col>15</xdr:col>
      <xdr:colOff>0</xdr:colOff>
      <xdr:row>77</xdr:row>
      <xdr:rowOff>0</xdr:rowOff>
    </xdr:to>
    <xdr:sp macro="" textlink="">
      <xdr:nvSpPr>
        <xdr:cNvPr id="856" name="직사각형 855">
          <a:extLst>
            <a:ext uri="{FF2B5EF4-FFF2-40B4-BE49-F238E27FC236}">
              <a16:creationId xmlns:a16="http://schemas.microsoft.com/office/drawing/2014/main" id="{72AF2D35-309A-4BDE-9515-24C51155E83F}"/>
            </a:ext>
          </a:extLst>
        </xdr:cNvPr>
        <xdr:cNvSpPr/>
      </xdr:nvSpPr>
      <xdr:spPr>
        <a:xfrm>
          <a:off x="5985163" y="8192886"/>
          <a:ext cx="1330037" cy="46620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 baseline="0">
              <a:solidFill>
                <a:sysClr val="windowText" lastClr="000000"/>
              </a:solidFill>
            </a:rPr>
            <a:t>Wall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31</xdr:col>
      <xdr:colOff>2337</xdr:colOff>
      <xdr:row>64</xdr:row>
      <xdr:rowOff>0</xdr:rowOff>
    </xdr:from>
    <xdr:to>
      <xdr:col>36</xdr:col>
      <xdr:colOff>0</xdr:colOff>
      <xdr:row>73</xdr:row>
      <xdr:rowOff>6099</xdr:rowOff>
    </xdr:to>
    <xdr:grpSp>
      <xdr:nvGrpSpPr>
        <xdr:cNvPr id="860" name="그룹 859">
          <a:extLst>
            <a:ext uri="{FF2B5EF4-FFF2-40B4-BE49-F238E27FC236}">
              <a16:creationId xmlns:a16="http://schemas.microsoft.com/office/drawing/2014/main" id="{9328189F-AC5E-07CF-8521-8C6CACEBAAB7}"/>
            </a:ext>
          </a:extLst>
        </xdr:cNvPr>
        <xdr:cNvGrpSpPr/>
      </xdr:nvGrpSpPr>
      <xdr:grpSpPr>
        <a:xfrm>
          <a:off x="20940019" y="14408727"/>
          <a:ext cx="3374708" cy="2032327"/>
          <a:chOff x="19378238" y="7789747"/>
          <a:chExt cx="3341085" cy="2010745"/>
        </a:xfrm>
      </xdr:grpSpPr>
      <xdr:sp macro="" textlink="">
        <xdr:nvSpPr>
          <xdr:cNvPr id="861" name="직사각형 860">
            <a:extLst>
              <a:ext uri="{FF2B5EF4-FFF2-40B4-BE49-F238E27FC236}">
                <a16:creationId xmlns:a16="http://schemas.microsoft.com/office/drawing/2014/main" id="{D2761848-3FE8-CBD3-75E8-5422A6C4671B}"/>
              </a:ext>
            </a:extLst>
          </xdr:cNvPr>
          <xdr:cNvSpPr/>
        </xdr:nvSpPr>
        <xdr:spPr>
          <a:xfrm>
            <a:off x="19378242" y="9577755"/>
            <a:ext cx="3341075" cy="222737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2" name="직사각형 861">
            <a:extLst>
              <a:ext uri="{FF2B5EF4-FFF2-40B4-BE49-F238E27FC236}">
                <a16:creationId xmlns:a16="http://schemas.microsoft.com/office/drawing/2014/main" id="{6F0E5A09-7946-1568-AB80-8CE58EC0E816}"/>
              </a:ext>
            </a:extLst>
          </xdr:cNvPr>
          <xdr:cNvSpPr/>
        </xdr:nvSpPr>
        <xdr:spPr>
          <a:xfrm>
            <a:off x="19378238" y="7793789"/>
            <a:ext cx="334287" cy="2006703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3" name="직사각형 862">
            <a:extLst>
              <a:ext uri="{FF2B5EF4-FFF2-40B4-BE49-F238E27FC236}">
                <a16:creationId xmlns:a16="http://schemas.microsoft.com/office/drawing/2014/main" id="{2E23025F-7278-64B1-EA4F-5EF7976246DB}"/>
              </a:ext>
            </a:extLst>
          </xdr:cNvPr>
          <xdr:cNvSpPr/>
        </xdr:nvSpPr>
        <xdr:spPr>
          <a:xfrm>
            <a:off x="22383886" y="7789747"/>
            <a:ext cx="335437" cy="2010745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26</xdr:col>
      <xdr:colOff>0</xdr:colOff>
      <xdr:row>63</xdr:row>
      <xdr:rowOff>222068</xdr:rowOff>
    </xdr:from>
    <xdr:to>
      <xdr:col>30</xdr:col>
      <xdr:colOff>670559</xdr:colOff>
      <xdr:row>73</xdr:row>
      <xdr:rowOff>4341</xdr:rowOff>
    </xdr:to>
    <xdr:grpSp>
      <xdr:nvGrpSpPr>
        <xdr:cNvPr id="864" name="그룹 863">
          <a:extLst>
            <a:ext uri="{FF2B5EF4-FFF2-40B4-BE49-F238E27FC236}">
              <a16:creationId xmlns:a16="http://schemas.microsoft.com/office/drawing/2014/main" id="{B17CC721-F508-D16E-2347-8809A896AFF8}"/>
            </a:ext>
          </a:extLst>
        </xdr:cNvPr>
        <xdr:cNvGrpSpPr/>
      </xdr:nvGrpSpPr>
      <xdr:grpSpPr>
        <a:xfrm>
          <a:off x="17560636" y="14405659"/>
          <a:ext cx="3372196" cy="2033637"/>
          <a:chOff x="19378246" y="7789747"/>
          <a:chExt cx="3341077" cy="2010745"/>
        </a:xfrm>
      </xdr:grpSpPr>
      <xdr:sp macro="" textlink="">
        <xdr:nvSpPr>
          <xdr:cNvPr id="865" name="직사각형 864">
            <a:extLst>
              <a:ext uri="{FF2B5EF4-FFF2-40B4-BE49-F238E27FC236}">
                <a16:creationId xmlns:a16="http://schemas.microsoft.com/office/drawing/2014/main" id="{D8C98661-3D71-2F39-5B54-7418D55A3C66}"/>
              </a:ext>
            </a:extLst>
          </xdr:cNvPr>
          <xdr:cNvSpPr/>
        </xdr:nvSpPr>
        <xdr:spPr>
          <a:xfrm>
            <a:off x="19378247" y="9577755"/>
            <a:ext cx="3341076" cy="222737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6" name="직사각형 865">
            <a:extLst>
              <a:ext uri="{FF2B5EF4-FFF2-40B4-BE49-F238E27FC236}">
                <a16:creationId xmlns:a16="http://schemas.microsoft.com/office/drawing/2014/main" id="{AA9D1297-B5E2-61FE-FFD3-A42D33DF02C0}"/>
              </a:ext>
            </a:extLst>
          </xdr:cNvPr>
          <xdr:cNvSpPr/>
        </xdr:nvSpPr>
        <xdr:spPr>
          <a:xfrm>
            <a:off x="19378246" y="7793789"/>
            <a:ext cx="334287" cy="2006703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7" name="직사각형 866">
            <a:extLst>
              <a:ext uri="{FF2B5EF4-FFF2-40B4-BE49-F238E27FC236}">
                <a16:creationId xmlns:a16="http://schemas.microsoft.com/office/drawing/2014/main" id="{E62060E7-714F-FBFF-C6A2-F4B959B47437}"/>
              </a:ext>
            </a:extLst>
          </xdr:cNvPr>
          <xdr:cNvSpPr/>
        </xdr:nvSpPr>
        <xdr:spPr>
          <a:xfrm>
            <a:off x="22383886" y="7789747"/>
            <a:ext cx="335437" cy="2010745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21</xdr:col>
      <xdr:colOff>1</xdr:colOff>
      <xdr:row>63</xdr:row>
      <xdr:rowOff>222068</xdr:rowOff>
    </xdr:from>
    <xdr:to>
      <xdr:col>26</xdr:col>
      <xdr:colOff>0</xdr:colOff>
      <xdr:row>73</xdr:row>
      <xdr:rowOff>5429</xdr:rowOff>
    </xdr:to>
    <xdr:grpSp>
      <xdr:nvGrpSpPr>
        <xdr:cNvPr id="868" name="그룹 867">
          <a:extLst>
            <a:ext uri="{FF2B5EF4-FFF2-40B4-BE49-F238E27FC236}">
              <a16:creationId xmlns:a16="http://schemas.microsoft.com/office/drawing/2014/main" id="{976B5EC4-582A-1221-2FA6-351F3AE3BF1E}"/>
            </a:ext>
          </a:extLst>
        </xdr:cNvPr>
        <xdr:cNvGrpSpPr/>
      </xdr:nvGrpSpPr>
      <xdr:grpSpPr>
        <a:xfrm>
          <a:off x="14183592" y="14405659"/>
          <a:ext cx="3377044" cy="2034725"/>
          <a:chOff x="19378246" y="7789747"/>
          <a:chExt cx="3341077" cy="2010745"/>
        </a:xfrm>
      </xdr:grpSpPr>
      <xdr:sp macro="" textlink="">
        <xdr:nvSpPr>
          <xdr:cNvPr id="869" name="직사각형 868">
            <a:extLst>
              <a:ext uri="{FF2B5EF4-FFF2-40B4-BE49-F238E27FC236}">
                <a16:creationId xmlns:a16="http://schemas.microsoft.com/office/drawing/2014/main" id="{1E8A6BD6-EF9A-4D77-5311-D17F35C3F5EF}"/>
              </a:ext>
            </a:extLst>
          </xdr:cNvPr>
          <xdr:cNvSpPr/>
        </xdr:nvSpPr>
        <xdr:spPr>
          <a:xfrm>
            <a:off x="19378247" y="9577755"/>
            <a:ext cx="3341076" cy="222737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70" name="직사각형 869">
            <a:extLst>
              <a:ext uri="{FF2B5EF4-FFF2-40B4-BE49-F238E27FC236}">
                <a16:creationId xmlns:a16="http://schemas.microsoft.com/office/drawing/2014/main" id="{C6D21986-CB4A-4EC2-C853-76555F8A5FA5}"/>
              </a:ext>
            </a:extLst>
          </xdr:cNvPr>
          <xdr:cNvSpPr/>
        </xdr:nvSpPr>
        <xdr:spPr>
          <a:xfrm>
            <a:off x="19378246" y="7793789"/>
            <a:ext cx="334287" cy="2006703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71" name="직사각형 870">
            <a:extLst>
              <a:ext uri="{FF2B5EF4-FFF2-40B4-BE49-F238E27FC236}">
                <a16:creationId xmlns:a16="http://schemas.microsoft.com/office/drawing/2014/main" id="{12FE8032-6C04-C30F-B441-9BCCD4F38467}"/>
              </a:ext>
            </a:extLst>
          </xdr:cNvPr>
          <xdr:cNvSpPr/>
        </xdr:nvSpPr>
        <xdr:spPr>
          <a:xfrm>
            <a:off x="22383886" y="7789747"/>
            <a:ext cx="335437" cy="2010745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16</xdr:col>
      <xdr:colOff>1</xdr:colOff>
      <xdr:row>63</xdr:row>
      <xdr:rowOff>222068</xdr:rowOff>
    </xdr:from>
    <xdr:to>
      <xdr:col>21</xdr:col>
      <xdr:colOff>0</xdr:colOff>
      <xdr:row>73</xdr:row>
      <xdr:rowOff>5034</xdr:rowOff>
    </xdr:to>
    <xdr:grpSp>
      <xdr:nvGrpSpPr>
        <xdr:cNvPr id="872" name="그룹 871">
          <a:extLst>
            <a:ext uri="{FF2B5EF4-FFF2-40B4-BE49-F238E27FC236}">
              <a16:creationId xmlns:a16="http://schemas.microsoft.com/office/drawing/2014/main" id="{6CB87E8A-305B-EE3E-0D5E-E27E3512D7BD}"/>
            </a:ext>
          </a:extLst>
        </xdr:cNvPr>
        <xdr:cNvGrpSpPr/>
      </xdr:nvGrpSpPr>
      <xdr:grpSpPr>
        <a:xfrm>
          <a:off x="10806546" y="14405659"/>
          <a:ext cx="3377045" cy="2034330"/>
          <a:chOff x="19378246" y="7789747"/>
          <a:chExt cx="3341077" cy="2010745"/>
        </a:xfrm>
      </xdr:grpSpPr>
      <xdr:sp macro="" textlink="">
        <xdr:nvSpPr>
          <xdr:cNvPr id="873" name="직사각형 872">
            <a:extLst>
              <a:ext uri="{FF2B5EF4-FFF2-40B4-BE49-F238E27FC236}">
                <a16:creationId xmlns:a16="http://schemas.microsoft.com/office/drawing/2014/main" id="{ADC1216B-DBD2-DA55-D5E2-2455C44895DE}"/>
              </a:ext>
            </a:extLst>
          </xdr:cNvPr>
          <xdr:cNvSpPr/>
        </xdr:nvSpPr>
        <xdr:spPr>
          <a:xfrm>
            <a:off x="19378247" y="9577755"/>
            <a:ext cx="3341076" cy="222737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74" name="직사각형 873">
            <a:extLst>
              <a:ext uri="{FF2B5EF4-FFF2-40B4-BE49-F238E27FC236}">
                <a16:creationId xmlns:a16="http://schemas.microsoft.com/office/drawing/2014/main" id="{72B34F16-DD31-C67E-19D8-BA99A0D2553E}"/>
              </a:ext>
            </a:extLst>
          </xdr:cNvPr>
          <xdr:cNvSpPr/>
        </xdr:nvSpPr>
        <xdr:spPr>
          <a:xfrm>
            <a:off x="19378246" y="7793789"/>
            <a:ext cx="334287" cy="2006703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75" name="직사각형 874">
            <a:extLst>
              <a:ext uri="{FF2B5EF4-FFF2-40B4-BE49-F238E27FC236}">
                <a16:creationId xmlns:a16="http://schemas.microsoft.com/office/drawing/2014/main" id="{29A863A7-5113-31BA-7EE4-953729684C09}"/>
              </a:ext>
            </a:extLst>
          </xdr:cNvPr>
          <xdr:cNvSpPr/>
        </xdr:nvSpPr>
        <xdr:spPr>
          <a:xfrm>
            <a:off x="22383886" y="7789747"/>
            <a:ext cx="335437" cy="2010745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15</xdr:col>
      <xdr:colOff>1792</xdr:colOff>
      <xdr:row>67</xdr:row>
      <xdr:rowOff>0</xdr:rowOff>
    </xdr:from>
    <xdr:to>
      <xdr:col>36</xdr:col>
      <xdr:colOff>0</xdr:colOff>
      <xdr:row>68</xdr:row>
      <xdr:rowOff>206020</xdr:rowOff>
    </xdr:to>
    <xdr:sp macro="" textlink="">
      <xdr:nvSpPr>
        <xdr:cNvPr id="876" name="화살표: 오른쪽 875">
          <a:extLst>
            <a:ext uri="{FF2B5EF4-FFF2-40B4-BE49-F238E27FC236}">
              <a16:creationId xmlns:a16="http://schemas.microsoft.com/office/drawing/2014/main" id="{057BBCC8-CBE3-49C6-B3F8-8370D5524B4D}"/>
            </a:ext>
          </a:extLst>
        </xdr:cNvPr>
        <xdr:cNvSpPr/>
      </xdr:nvSpPr>
      <xdr:spPr>
        <a:xfrm flipH="1">
          <a:off x="10060192" y="14843760"/>
          <a:ext cx="14079968" cy="427000"/>
        </a:xfrm>
        <a:prstGeom prst="rightArrow">
          <a:avLst/>
        </a:prstGeom>
        <a:solidFill>
          <a:srgbClr val="C00000"/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0</xdr:colOff>
      <xdr:row>65</xdr:row>
      <xdr:rowOff>0</xdr:rowOff>
    </xdr:from>
    <xdr:to>
      <xdr:col>41</xdr:col>
      <xdr:colOff>6926</xdr:colOff>
      <xdr:row>72</xdr:row>
      <xdr:rowOff>1</xdr:rowOff>
    </xdr:to>
    <xdr:grpSp>
      <xdr:nvGrpSpPr>
        <xdr:cNvPr id="810" name="그룹 809">
          <a:extLst>
            <a:ext uri="{FF2B5EF4-FFF2-40B4-BE49-F238E27FC236}">
              <a16:creationId xmlns:a16="http://schemas.microsoft.com/office/drawing/2014/main" id="{0C0A002C-F43D-4771-A117-29A94D78E8B9}"/>
            </a:ext>
          </a:extLst>
        </xdr:cNvPr>
        <xdr:cNvGrpSpPr/>
      </xdr:nvGrpSpPr>
      <xdr:grpSpPr>
        <a:xfrm>
          <a:off x="24314727" y="14633864"/>
          <a:ext cx="3383972" cy="1575955"/>
          <a:chOff x="13095584" y="6887989"/>
          <a:chExt cx="3359401" cy="1550542"/>
        </a:xfrm>
      </xdr:grpSpPr>
      <xdr:sp macro="" textlink="">
        <xdr:nvSpPr>
          <xdr:cNvPr id="811" name="타원 810">
            <a:extLst>
              <a:ext uri="{FF2B5EF4-FFF2-40B4-BE49-F238E27FC236}">
                <a16:creationId xmlns:a16="http://schemas.microsoft.com/office/drawing/2014/main" id="{0C000C52-16AE-9405-FE1F-EFCCB11D0D84}"/>
              </a:ext>
            </a:extLst>
          </xdr:cNvPr>
          <xdr:cNvSpPr/>
        </xdr:nvSpPr>
        <xdr:spPr>
          <a:xfrm>
            <a:off x="15320008" y="7970999"/>
            <a:ext cx="463103" cy="444285"/>
          </a:xfrm>
          <a:prstGeom prst="ellipse">
            <a:avLst/>
          </a:prstGeom>
          <a:solidFill>
            <a:schemeClr val="bg1">
              <a:lumMod val="85000"/>
            </a:schemeClr>
          </a:solidFill>
          <a:ln w="762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12" name="타원 811">
            <a:extLst>
              <a:ext uri="{FF2B5EF4-FFF2-40B4-BE49-F238E27FC236}">
                <a16:creationId xmlns:a16="http://schemas.microsoft.com/office/drawing/2014/main" id="{75FC83CA-A9FB-D3B7-B247-DF31FB7B6D71}"/>
              </a:ext>
            </a:extLst>
          </xdr:cNvPr>
          <xdr:cNvSpPr/>
        </xdr:nvSpPr>
        <xdr:spPr>
          <a:xfrm>
            <a:off x="13768333" y="7994246"/>
            <a:ext cx="463103" cy="444285"/>
          </a:xfrm>
          <a:prstGeom prst="ellipse">
            <a:avLst/>
          </a:prstGeom>
          <a:solidFill>
            <a:schemeClr val="bg1">
              <a:lumMod val="85000"/>
            </a:schemeClr>
          </a:solidFill>
          <a:ln w="762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813" name="그룹 812">
            <a:extLst>
              <a:ext uri="{FF2B5EF4-FFF2-40B4-BE49-F238E27FC236}">
                <a16:creationId xmlns:a16="http://schemas.microsoft.com/office/drawing/2014/main" id="{F17756AE-250A-E436-BD91-5EBFD5980368}"/>
              </a:ext>
            </a:extLst>
          </xdr:cNvPr>
          <xdr:cNvGrpSpPr/>
        </xdr:nvGrpSpPr>
        <xdr:grpSpPr>
          <a:xfrm>
            <a:off x="13095584" y="6887989"/>
            <a:ext cx="3359401" cy="1340917"/>
            <a:chOff x="10386713" y="5540991"/>
            <a:chExt cx="3349594" cy="1334124"/>
          </a:xfrm>
        </xdr:grpSpPr>
        <xdr:grpSp>
          <xdr:nvGrpSpPr>
            <xdr:cNvPr id="814" name="그룹 813">
              <a:extLst>
                <a:ext uri="{FF2B5EF4-FFF2-40B4-BE49-F238E27FC236}">
                  <a16:creationId xmlns:a16="http://schemas.microsoft.com/office/drawing/2014/main" id="{3CF4B589-B3B1-7835-E2AA-F612E2A6134A}"/>
                </a:ext>
              </a:extLst>
            </xdr:cNvPr>
            <xdr:cNvGrpSpPr/>
          </xdr:nvGrpSpPr>
          <xdr:grpSpPr>
            <a:xfrm>
              <a:off x="10386713" y="5540991"/>
              <a:ext cx="3349594" cy="1334124"/>
              <a:chOff x="10373140" y="5469083"/>
              <a:chExt cx="3342858" cy="1313764"/>
            </a:xfrm>
          </xdr:grpSpPr>
          <xdr:sp macro="" textlink="">
            <xdr:nvSpPr>
              <xdr:cNvPr id="816" name="직사각형 815">
                <a:extLst>
                  <a:ext uri="{FF2B5EF4-FFF2-40B4-BE49-F238E27FC236}">
                    <a16:creationId xmlns:a16="http://schemas.microsoft.com/office/drawing/2014/main" id="{274D8317-9043-F9B7-42A1-6998B7FD92C4}"/>
                  </a:ext>
                </a:extLst>
              </xdr:cNvPr>
              <xdr:cNvSpPr/>
            </xdr:nvSpPr>
            <xdr:spPr>
              <a:xfrm>
                <a:off x="10373140" y="5471904"/>
                <a:ext cx="668571" cy="1310943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817" name="직사각형 816">
                <a:extLst>
                  <a:ext uri="{FF2B5EF4-FFF2-40B4-BE49-F238E27FC236}">
                    <a16:creationId xmlns:a16="http://schemas.microsoft.com/office/drawing/2014/main" id="{135B6251-F034-60F8-9C15-503C47A5356E}"/>
                  </a:ext>
                </a:extLst>
              </xdr:cNvPr>
              <xdr:cNvSpPr/>
            </xdr:nvSpPr>
            <xdr:spPr>
              <a:xfrm>
                <a:off x="11042568" y="6557005"/>
                <a:ext cx="2004859" cy="218661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818" name="직사각형 817">
                <a:extLst>
                  <a:ext uri="{FF2B5EF4-FFF2-40B4-BE49-F238E27FC236}">
                    <a16:creationId xmlns:a16="http://schemas.microsoft.com/office/drawing/2014/main" id="{8B7EA0CB-08DD-7089-8F9C-0B35DEE65CE7}"/>
                  </a:ext>
                </a:extLst>
              </xdr:cNvPr>
              <xdr:cNvSpPr/>
            </xdr:nvSpPr>
            <xdr:spPr>
              <a:xfrm>
                <a:off x="13047425" y="5469083"/>
                <a:ext cx="668573" cy="1310943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  <xdr:sp macro="" textlink="">
          <xdr:nvSpPr>
            <xdr:cNvPr id="815" name="직사각형 814">
              <a:extLst>
                <a:ext uri="{FF2B5EF4-FFF2-40B4-BE49-F238E27FC236}">
                  <a16:creationId xmlns:a16="http://schemas.microsoft.com/office/drawing/2014/main" id="{D6DBF8DE-3E1D-7F33-A774-CD70B1943915}"/>
                </a:ext>
              </a:extLst>
            </xdr:cNvPr>
            <xdr:cNvSpPr/>
          </xdr:nvSpPr>
          <xdr:spPr>
            <a:xfrm>
              <a:off x="11056632" y="6425391"/>
              <a:ext cx="2010335" cy="236891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24</xdr:col>
      <xdr:colOff>502023</xdr:colOff>
      <xdr:row>66</xdr:row>
      <xdr:rowOff>179294</xdr:rowOff>
    </xdr:from>
    <xdr:to>
      <xdr:col>27</xdr:col>
      <xdr:colOff>502023</xdr:colOff>
      <xdr:row>69</xdr:row>
      <xdr:rowOff>0</xdr:rowOff>
    </xdr:to>
    <xdr:sp macro="" textlink="">
      <xdr:nvSpPr>
        <xdr:cNvPr id="877" name="사각형: 둥근 모서리 876">
          <a:extLst>
            <a:ext uri="{FF2B5EF4-FFF2-40B4-BE49-F238E27FC236}">
              <a16:creationId xmlns:a16="http://schemas.microsoft.com/office/drawing/2014/main" id="{C1A9CF93-70E7-6849-73FC-C0D5375B6C6C}"/>
            </a:ext>
          </a:extLst>
        </xdr:cNvPr>
        <xdr:cNvSpPr/>
      </xdr:nvSpPr>
      <xdr:spPr>
        <a:xfrm>
          <a:off x="16638494" y="15015882"/>
          <a:ext cx="2017058" cy="49305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distance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36</xdr:col>
      <xdr:colOff>0</xdr:colOff>
      <xdr:row>104</xdr:row>
      <xdr:rowOff>216639</xdr:rowOff>
    </xdr:from>
    <xdr:to>
      <xdr:col>41</xdr:col>
      <xdr:colOff>0</xdr:colOff>
      <xdr:row>114</xdr:row>
      <xdr:rowOff>0</xdr:rowOff>
    </xdr:to>
    <xdr:grpSp>
      <xdr:nvGrpSpPr>
        <xdr:cNvPr id="884" name="그룹 883">
          <a:extLst>
            <a:ext uri="{FF2B5EF4-FFF2-40B4-BE49-F238E27FC236}">
              <a16:creationId xmlns:a16="http://schemas.microsoft.com/office/drawing/2014/main" id="{4BAE05DF-6BF3-4A09-BB89-0C6EEA7CB125}"/>
            </a:ext>
          </a:extLst>
        </xdr:cNvPr>
        <xdr:cNvGrpSpPr/>
      </xdr:nvGrpSpPr>
      <xdr:grpSpPr>
        <a:xfrm>
          <a:off x="24314727" y="23630821"/>
          <a:ext cx="3377046" cy="2034724"/>
          <a:chOff x="19378246" y="7789747"/>
          <a:chExt cx="3341077" cy="2010745"/>
        </a:xfrm>
      </xdr:grpSpPr>
      <xdr:sp macro="" textlink="">
        <xdr:nvSpPr>
          <xdr:cNvPr id="885" name="직사각형 884">
            <a:extLst>
              <a:ext uri="{FF2B5EF4-FFF2-40B4-BE49-F238E27FC236}">
                <a16:creationId xmlns:a16="http://schemas.microsoft.com/office/drawing/2014/main" id="{B8E167DD-E771-8DC4-14BB-DD4C0EF44CE5}"/>
              </a:ext>
            </a:extLst>
          </xdr:cNvPr>
          <xdr:cNvSpPr/>
        </xdr:nvSpPr>
        <xdr:spPr>
          <a:xfrm>
            <a:off x="19378247" y="9577755"/>
            <a:ext cx="3341076" cy="222737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86" name="직사각형 885">
            <a:extLst>
              <a:ext uri="{FF2B5EF4-FFF2-40B4-BE49-F238E27FC236}">
                <a16:creationId xmlns:a16="http://schemas.microsoft.com/office/drawing/2014/main" id="{3DAE838D-2815-69CB-97E1-BC4A331D4DF6}"/>
              </a:ext>
            </a:extLst>
          </xdr:cNvPr>
          <xdr:cNvSpPr/>
        </xdr:nvSpPr>
        <xdr:spPr>
          <a:xfrm>
            <a:off x="19378246" y="7793789"/>
            <a:ext cx="334287" cy="2006703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87" name="직사각형 886">
            <a:extLst>
              <a:ext uri="{FF2B5EF4-FFF2-40B4-BE49-F238E27FC236}">
                <a16:creationId xmlns:a16="http://schemas.microsoft.com/office/drawing/2014/main" id="{F0D3CBD2-E3C9-7A3D-B62C-D57B91B73F5E}"/>
              </a:ext>
            </a:extLst>
          </xdr:cNvPr>
          <xdr:cNvSpPr/>
        </xdr:nvSpPr>
        <xdr:spPr>
          <a:xfrm>
            <a:off x="22383886" y="7789747"/>
            <a:ext cx="335437" cy="2010745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16</xdr:col>
      <xdr:colOff>0</xdr:colOff>
      <xdr:row>114</xdr:row>
      <xdr:rowOff>0</xdr:rowOff>
    </xdr:from>
    <xdr:to>
      <xdr:col>41</xdr:col>
      <xdr:colOff>0</xdr:colOff>
      <xdr:row>114</xdr:row>
      <xdr:rowOff>224117</xdr:rowOff>
    </xdr:to>
    <xdr:sp macro="" textlink="">
      <xdr:nvSpPr>
        <xdr:cNvPr id="888" name="직사각형 887">
          <a:extLst>
            <a:ext uri="{FF2B5EF4-FFF2-40B4-BE49-F238E27FC236}">
              <a16:creationId xmlns:a16="http://schemas.microsoft.com/office/drawing/2014/main" id="{FCB8F414-0A92-487D-A2CD-CE9A58654D7C}"/>
            </a:ext>
          </a:extLst>
        </xdr:cNvPr>
        <xdr:cNvSpPr/>
      </xdr:nvSpPr>
      <xdr:spPr>
        <a:xfrm flipV="1">
          <a:off x="10798629" y="15947571"/>
          <a:ext cx="16872857" cy="224117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1</xdr:colOff>
      <xdr:row>85</xdr:row>
      <xdr:rowOff>221671</xdr:rowOff>
    </xdr:from>
    <xdr:to>
      <xdr:col>15</xdr:col>
      <xdr:colOff>1</xdr:colOff>
      <xdr:row>115</xdr:row>
      <xdr:rowOff>0</xdr:rowOff>
    </xdr:to>
    <xdr:sp macro="" textlink="">
      <xdr:nvSpPr>
        <xdr:cNvPr id="889" name="직사각형 888">
          <a:extLst>
            <a:ext uri="{FF2B5EF4-FFF2-40B4-BE49-F238E27FC236}">
              <a16:creationId xmlns:a16="http://schemas.microsoft.com/office/drawing/2014/main" id="{50885584-2EEA-42D1-AA0C-78223B1377CE}"/>
            </a:ext>
          </a:extLst>
        </xdr:cNvPr>
        <xdr:cNvSpPr/>
      </xdr:nvSpPr>
      <xdr:spPr>
        <a:xfrm>
          <a:off x="8773887" y="9855528"/>
          <a:ext cx="1349828" cy="6309758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0</xdr:colOff>
      <xdr:row>116</xdr:row>
      <xdr:rowOff>0</xdr:rowOff>
    </xdr:from>
    <xdr:to>
      <xdr:col>25</xdr:col>
      <xdr:colOff>0</xdr:colOff>
      <xdr:row>118</xdr:row>
      <xdr:rowOff>37406</xdr:rowOff>
    </xdr:to>
    <xdr:sp macro="" textlink="">
      <xdr:nvSpPr>
        <xdr:cNvPr id="890" name="직사각형 889">
          <a:extLst>
            <a:ext uri="{FF2B5EF4-FFF2-40B4-BE49-F238E27FC236}">
              <a16:creationId xmlns:a16="http://schemas.microsoft.com/office/drawing/2014/main" id="{098D56C9-2E8C-4FFB-B327-7D02AC634C87}"/>
            </a:ext>
          </a:extLst>
        </xdr:cNvPr>
        <xdr:cNvSpPr/>
      </xdr:nvSpPr>
      <xdr:spPr>
        <a:xfrm>
          <a:off x="14848114" y="16383000"/>
          <a:ext cx="2024743" cy="47283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2</a:t>
          </a:r>
          <a:r>
            <a:rPr lang="en-US" altLang="ko-KR" sz="2800" b="1" baseline="0">
              <a:solidFill>
                <a:sysClr val="windowText" lastClr="000000"/>
              </a:solidFill>
            </a:rPr>
            <a:t> cell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0</xdr:colOff>
      <xdr:row>116</xdr:row>
      <xdr:rowOff>0</xdr:rowOff>
    </xdr:from>
    <xdr:to>
      <xdr:col>20</xdr:col>
      <xdr:colOff>0</xdr:colOff>
      <xdr:row>118</xdr:row>
      <xdr:rowOff>22859</xdr:rowOff>
    </xdr:to>
    <xdr:sp macro="" textlink="">
      <xdr:nvSpPr>
        <xdr:cNvPr id="891" name="직사각형 890">
          <a:extLst>
            <a:ext uri="{FF2B5EF4-FFF2-40B4-BE49-F238E27FC236}">
              <a16:creationId xmlns:a16="http://schemas.microsoft.com/office/drawing/2014/main" id="{C6C7AB64-1635-4D48-9878-866A633B065C}"/>
            </a:ext>
          </a:extLst>
        </xdr:cNvPr>
        <xdr:cNvSpPr/>
      </xdr:nvSpPr>
      <xdr:spPr>
        <a:xfrm>
          <a:off x="11473543" y="25309286"/>
          <a:ext cx="2024743" cy="45828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 baseline="0">
              <a:solidFill>
                <a:sysClr val="windowText" lastClr="000000"/>
              </a:solidFill>
            </a:rPr>
            <a:t>3 cell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0</xdr:colOff>
      <xdr:row>116</xdr:row>
      <xdr:rowOff>0</xdr:rowOff>
    </xdr:from>
    <xdr:to>
      <xdr:col>30</xdr:col>
      <xdr:colOff>0</xdr:colOff>
      <xdr:row>118</xdr:row>
      <xdr:rowOff>22859</xdr:rowOff>
    </xdr:to>
    <xdr:sp macro="" textlink="">
      <xdr:nvSpPr>
        <xdr:cNvPr id="892" name="직사각형 891">
          <a:extLst>
            <a:ext uri="{FF2B5EF4-FFF2-40B4-BE49-F238E27FC236}">
              <a16:creationId xmlns:a16="http://schemas.microsoft.com/office/drawing/2014/main" id="{5648B747-222A-4418-AC46-A5A2E5E64DA9}"/>
            </a:ext>
          </a:extLst>
        </xdr:cNvPr>
        <xdr:cNvSpPr/>
      </xdr:nvSpPr>
      <xdr:spPr>
        <a:xfrm>
          <a:off x="18222686" y="16383000"/>
          <a:ext cx="2024743" cy="45828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 baseline="0">
              <a:solidFill>
                <a:sysClr val="windowText" lastClr="000000"/>
              </a:solidFill>
            </a:rPr>
            <a:t>1 cell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32</xdr:col>
      <xdr:colOff>0</xdr:colOff>
      <xdr:row>116</xdr:row>
      <xdr:rowOff>0</xdr:rowOff>
    </xdr:from>
    <xdr:to>
      <xdr:col>35</xdr:col>
      <xdr:colOff>0</xdr:colOff>
      <xdr:row>118</xdr:row>
      <xdr:rowOff>22859</xdr:rowOff>
    </xdr:to>
    <xdr:sp macro="" textlink="">
      <xdr:nvSpPr>
        <xdr:cNvPr id="893" name="직사각형 892">
          <a:extLst>
            <a:ext uri="{FF2B5EF4-FFF2-40B4-BE49-F238E27FC236}">
              <a16:creationId xmlns:a16="http://schemas.microsoft.com/office/drawing/2014/main" id="{0A85FF1E-7376-4CD7-82D5-DEB375FED34D}"/>
            </a:ext>
          </a:extLst>
        </xdr:cNvPr>
        <xdr:cNvSpPr/>
      </xdr:nvSpPr>
      <xdr:spPr>
        <a:xfrm>
          <a:off x="21597257" y="16383000"/>
          <a:ext cx="2024743" cy="45828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Lift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37</xdr:col>
      <xdr:colOff>0</xdr:colOff>
      <xdr:row>116</xdr:row>
      <xdr:rowOff>0</xdr:rowOff>
    </xdr:from>
    <xdr:to>
      <xdr:col>40</xdr:col>
      <xdr:colOff>0</xdr:colOff>
      <xdr:row>118</xdr:row>
      <xdr:rowOff>22859</xdr:rowOff>
    </xdr:to>
    <xdr:sp macro="" textlink="">
      <xdr:nvSpPr>
        <xdr:cNvPr id="894" name="직사각형 893">
          <a:extLst>
            <a:ext uri="{FF2B5EF4-FFF2-40B4-BE49-F238E27FC236}">
              <a16:creationId xmlns:a16="http://schemas.microsoft.com/office/drawing/2014/main" id="{F540C020-705C-4563-87CF-FDF379F3E9A3}"/>
            </a:ext>
          </a:extLst>
        </xdr:cNvPr>
        <xdr:cNvSpPr/>
      </xdr:nvSpPr>
      <xdr:spPr>
        <a:xfrm>
          <a:off x="24971829" y="16383000"/>
          <a:ext cx="2024742" cy="45828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Init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-1</xdr:colOff>
      <xdr:row>115</xdr:row>
      <xdr:rowOff>198813</xdr:rowOff>
    </xdr:from>
    <xdr:to>
      <xdr:col>15</xdr:col>
      <xdr:colOff>0</xdr:colOff>
      <xdr:row>118</xdr:row>
      <xdr:rowOff>0</xdr:rowOff>
    </xdr:to>
    <xdr:sp macro="" textlink="">
      <xdr:nvSpPr>
        <xdr:cNvPr id="895" name="직사각형 894">
          <a:extLst>
            <a:ext uri="{FF2B5EF4-FFF2-40B4-BE49-F238E27FC236}">
              <a16:creationId xmlns:a16="http://schemas.microsoft.com/office/drawing/2014/main" id="{3606C653-7EBE-420C-A162-7983F7283ED6}"/>
            </a:ext>
          </a:extLst>
        </xdr:cNvPr>
        <xdr:cNvSpPr/>
      </xdr:nvSpPr>
      <xdr:spPr>
        <a:xfrm>
          <a:off x="8773885" y="16364099"/>
          <a:ext cx="1349829" cy="45433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 baseline="0">
              <a:solidFill>
                <a:sysClr val="windowText" lastClr="000000"/>
              </a:solidFill>
            </a:rPr>
            <a:t>Wall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31</xdr:col>
      <xdr:colOff>2337</xdr:colOff>
      <xdr:row>105</xdr:row>
      <xdr:rowOff>0</xdr:rowOff>
    </xdr:from>
    <xdr:to>
      <xdr:col>36</xdr:col>
      <xdr:colOff>0</xdr:colOff>
      <xdr:row>114</xdr:row>
      <xdr:rowOff>6099</xdr:rowOff>
    </xdr:to>
    <xdr:grpSp>
      <xdr:nvGrpSpPr>
        <xdr:cNvPr id="896" name="그룹 895">
          <a:extLst>
            <a:ext uri="{FF2B5EF4-FFF2-40B4-BE49-F238E27FC236}">
              <a16:creationId xmlns:a16="http://schemas.microsoft.com/office/drawing/2014/main" id="{5845E5C3-87E4-4D3F-9926-32CD5674EC52}"/>
            </a:ext>
          </a:extLst>
        </xdr:cNvPr>
        <xdr:cNvGrpSpPr/>
      </xdr:nvGrpSpPr>
      <xdr:grpSpPr>
        <a:xfrm>
          <a:off x="20940019" y="23639318"/>
          <a:ext cx="3374708" cy="2032326"/>
          <a:chOff x="19378238" y="7789747"/>
          <a:chExt cx="3341085" cy="2010745"/>
        </a:xfrm>
      </xdr:grpSpPr>
      <xdr:sp macro="" textlink="">
        <xdr:nvSpPr>
          <xdr:cNvPr id="897" name="직사각형 896">
            <a:extLst>
              <a:ext uri="{FF2B5EF4-FFF2-40B4-BE49-F238E27FC236}">
                <a16:creationId xmlns:a16="http://schemas.microsoft.com/office/drawing/2014/main" id="{1FB7E55A-7351-805A-504E-12DEAA4CEB9C}"/>
              </a:ext>
            </a:extLst>
          </xdr:cNvPr>
          <xdr:cNvSpPr/>
        </xdr:nvSpPr>
        <xdr:spPr>
          <a:xfrm>
            <a:off x="19378242" y="9577755"/>
            <a:ext cx="3341075" cy="222737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98" name="직사각형 897">
            <a:extLst>
              <a:ext uri="{FF2B5EF4-FFF2-40B4-BE49-F238E27FC236}">
                <a16:creationId xmlns:a16="http://schemas.microsoft.com/office/drawing/2014/main" id="{111865B5-CFD4-5E89-D4DB-02B0F8478F90}"/>
              </a:ext>
            </a:extLst>
          </xdr:cNvPr>
          <xdr:cNvSpPr/>
        </xdr:nvSpPr>
        <xdr:spPr>
          <a:xfrm>
            <a:off x="19378238" y="7793789"/>
            <a:ext cx="334287" cy="2006703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99" name="직사각형 898">
            <a:extLst>
              <a:ext uri="{FF2B5EF4-FFF2-40B4-BE49-F238E27FC236}">
                <a16:creationId xmlns:a16="http://schemas.microsoft.com/office/drawing/2014/main" id="{A2D5A527-3926-7597-4B82-ECCF6B659721}"/>
              </a:ext>
            </a:extLst>
          </xdr:cNvPr>
          <xdr:cNvSpPr/>
        </xdr:nvSpPr>
        <xdr:spPr>
          <a:xfrm>
            <a:off x="22383886" y="7789747"/>
            <a:ext cx="335437" cy="2010745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26</xdr:col>
      <xdr:colOff>0</xdr:colOff>
      <xdr:row>105</xdr:row>
      <xdr:rowOff>4353</xdr:rowOff>
    </xdr:from>
    <xdr:to>
      <xdr:col>30</xdr:col>
      <xdr:colOff>670559</xdr:colOff>
      <xdr:row>114</xdr:row>
      <xdr:rowOff>4341</xdr:rowOff>
    </xdr:to>
    <xdr:grpSp>
      <xdr:nvGrpSpPr>
        <xdr:cNvPr id="900" name="그룹 899">
          <a:extLst>
            <a:ext uri="{FF2B5EF4-FFF2-40B4-BE49-F238E27FC236}">
              <a16:creationId xmlns:a16="http://schemas.microsoft.com/office/drawing/2014/main" id="{BC373596-5721-4A38-A07F-4EA30ABFB4F8}"/>
            </a:ext>
          </a:extLst>
        </xdr:cNvPr>
        <xdr:cNvGrpSpPr/>
      </xdr:nvGrpSpPr>
      <xdr:grpSpPr>
        <a:xfrm>
          <a:off x="17560636" y="23643671"/>
          <a:ext cx="3372196" cy="2026215"/>
          <a:chOff x="19378246" y="7789747"/>
          <a:chExt cx="3341077" cy="2010745"/>
        </a:xfrm>
      </xdr:grpSpPr>
      <xdr:sp macro="" textlink="">
        <xdr:nvSpPr>
          <xdr:cNvPr id="901" name="직사각형 900">
            <a:extLst>
              <a:ext uri="{FF2B5EF4-FFF2-40B4-BE49-F238E27FC236}">
                <a16:creationId xmlns:a16="http://schemas.microsoft.com/office/drawing/2014/main" id="{4B837CB5-2D49-F68C-EED0-29F72D0F7395}"/>
              </a:ext>
            </a:extLst>
          </xdr:cNvPr>
          <xdr:cNvSpPr/>
        </xdr:nvSpPr>
        <xdr:spPr>
          <a:xfrm>
            <a:off x="19378247" y="9577755"/>
            <a:ext cx="3341076" cy="222737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02" name="직사각형 901">
            <a:extLst>
              <a:ext uri="{FF2B5EF4-FFF2-40B4-BE49-F238E27FC236}">
                <a16:creationId xmlns:a16="http://schemas.microsoft.com/office/drawing/2014/main" id="{B6DC6D23-2F63-54E2-D8D0-DB39E32C31F3}"/>
              </a:ext>
            </a:extLst>
          </xdr:cNvPr>
          <xdr:cNvSpPr/>
        </xdr:nvSpPr>
        <xdr:spPr>
          <a:xfrm>
            <a:off x="19378246" y="7793789"/>
            <a:ext cx="334287" cy="2006703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03" name="직사각형 902">
            <a:extLst>
              <a:ext uri="{FF2B5EF4-FFF2-40B4-BE49-F238E27FC236}">
                <a16:creationId xmlns:a16="http://schemas.microsoft.com/office/drawing/2014/main" id="{44218026-711A-693E-BA05-810BFA57D347}"/>
              </a:ext>
            </a:extLst>
          </xdr:cNvPr>
          <xdr:cNvSpPr/>
        </xdr:nvSpPr>
        <xdr:spPr>
          <a:xfrm>
            <a:off x="22383886" y="7789747"/>
            <a:ext cx="335437" cy="2010745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21</xdr:col>
      <xdr:colOff>1</xdr:colOff>
      <xdr:row>105</xdr:row>
      <xdr:rowOff>4353</xdr:rowOff>
    </xdr:from>
    <xdr:to>
      <xdr:col>26</xdr:col>
      <xdr:colOff>0</xdr:colOff>
      <xdr:row>114</xdr:row>
      <xdr:rowOff>5429</xdr:rowOff>
    </xdr:to>
    <xdr:grpSp>
      <xdr:nvGrpSpPr>
        <xdr:cNvPr id="904" name="그룹 903">
          <a:extLst>
            <a:ext uri="{FF2B5EF4-FFF2-40B4-BE49-F238E27FC236}">
              <a16:creationId xmlns:a16="http://schemas.microsoft.com/office/drawing/2014/main" id="{89836886-3D9E-4525-8DA4-16A1D6C0C431}"/>
            </a:ext>
          </a:extLst>
        </xdr:cNvPr>
        <xdr:cNvGrpSpPr/>
      </xdr:nvGrpSpPr>
      <xdr:grpSpPr>
        <a:xfrm>
          <a:off x="14183592" y="23643671"/>
          <a:ext cx="3377044" cy="2027303"/>
          <a:chOff x="19378246" y="7789747"/>
          <a:chExt cx="3341077" cy="2010745"/>
        </a:xfrm>
      </xdr:grpSpPr>
      <xdr:sp macro="" textlink="">
        <xdr:nvSpPr>
          <xdr:cNvPr id="905" name="직사각형 904">
            <a:extLst>
              <a:ext uri="{FF2B5EF4-FFF2-40B4-BE49-F238E27FC236}">
                <a16:creationId xmlns:a16="http://schemas.microsoft.com/office/drawing/2014/main" id="{724A729E-2E18-A7AD-8B50-9A115C6FF4F4}"/>
              </a:ext>
            </a:extLst>
          </xdr:cNvPr>
          <xdr:cNvSpPr/>
        </xdr:nvSpPr>
        <xdr:spPr>
          <a:xfrm>
            <a:off x="19378247" y="9577755"/>
            <a:ext cx="3341076" cy="222737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06" name="직사각형 905">
            <a:extLst>
              <a:ext uri="{FF2B5EF4-FFF2-40B4-BE49-F238E27FC236}">
                <a16:creationId xmlns:a16="http://schemas.microsoft.com/office/drawing/2014/main" id="{068B7E94-8C10-6240-55A6-1938DC1A8136}"/>
              </a:ext>
            </a:extLst>
          </xdr:cNvPr>
          <xdr:cNvSpPr/>
        </xdr:nvSpPr>
        <xdr:spPr>
          <a:xfrm>
            <a:off x="19378246" y="7793789"/>
            <a:ext cx="334287" cy="2006703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07" name="직사각형 906">
            <a:extLst>
              <a:ext uri="{FF2B5EF4-FFF2-40B4-BE49-F238E27FC236}">
                <a16:creationId xmlns:a16="http://schemas.microsoft.com/office/drawing/2014/main" id="{B65DBAE0-8ED6-F822-6BE7-4971073236F0}"/>
              </a:ext>
            </a:extLst>
          </xdr:cNvPr>
          <xdr:cNvSpPr/>
        </xdr:nvSpPr>
        <xdr:spPr>
          <a:xfrm>
            <a:off x="22383886" y="7789747"/>
            <a:ext cx="335437" cy="2010745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16</xdr:col>
      <xdr:colOff>1</xdr:colOff>
      <xdr:row>105</xdr:row>
      <xdr:rowOff>4353</xdr:rowOff>
    </xdr:from>
    <xdr:to>
      <xdr:col>21</xdr:col>
      <xdr:colOff>0</xdr:colOff>
      <xdr:row>114</xdr:row>
      <xdr:rowOff>5034</xdr:rowOff>
    </xdr:to>
    <xdr:grpSp>
      <xdr:nvGrpSpPr>
        <xdr:cNvPr id="908" name="그룹 907">
          <a:extLst>
            <a:ext uri="{FF2B5EF4-FFF2-40B4-BE49-F238E27FC236}">
              <a16:creationId xmlns:a16="http://schemas.microsoft.com/office/drawing/2014/main" id="{EDD71A96-5914-4A11-B928-B9C7DA7FE0C0}"/>
            </a:ext>
          </a:extLst>
        </xdr:cNvPr>
        <xdr:cNvGrpSpPr/>
      </xdr:nvGrpSpPr>
      <xdr:grpSpPr>
        <a:xfrm>
          <a:off x="10806546" y="23643671"/>
          <a:ext cx="3377045" cy="2026908"/>
          <a:chOff x="19378246" y="7789747"/>
          <a:chExt cx="3341077" cy="2010745"/>
        </a:xfrm>
      </xdr:grpSpPr>
      <xdr:sp macro="" textlink="">
        <xdr:nvSpPr>
          <xdr:cNvPr id="909" name="직사각형 908">
            <a:extLst>
              <a:ext uri="{FF2B5EF4-FFF2-40B4-BE49-F238E27FC236}">
                <a16:creationId xmlns:a16="http://schemas.microsoft.com/office/drawing/2014/main" id="{DF984D85-B732-834F-A4A0-41D0C4479FF3}"/>
              </a:ext>
            </a:extLst>
          </xdr:cNvPr>
          <xdr:cNvSpPr/>
        </xdr:nvSpPr>
        <xdr:spPr>
          <a:xfrm>
            <a:off x="19378247" y="9577755"/>
            <a:ext cx="3341076" cy="222737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0" name="직사각형 909">
            <a:extLst>
              <a:ext uri="{FF2B5EF4-FFF2-40B4-BE49-F238E27FC236}">
                <a16:creationId xmlns:a16="http://schemas.microsoft.com/office/drawing/2014/main" id="{EB5863AF-727C-54F5-26BE-6A613CDB98E9}"/>
              </a:ext>
            </a:extLst>
          </xdr:cNvPr>
          <xdr:cNvSpPr/>
        </xdr:nvSpPr>
        <xdr:spPr>
          <a:xfrm>
            <a:off x="19378246" y="7793789"/>
            <a:ext cx="334287" cy="2006703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1" name="직사각형 910">
            <a:extLst>
              <a:ext uri="{FF2B5EF4-FFF2-40B4-BE49-F238E27FC236}">
                <a16:creationId xmlns:a16="http://schemas.microsoft.com/office/drawing/2014/main" id="{9EAD2002-6610-031F-DEB9-6301CD0E53D7}"/>
              </a:ext>
            </a:extLst>
          </xdr:cNvPr>
          <xdr:cNvSpPr/>
        </xdr:nvSpPr>
        <xdr:spPr>
          <a:xfrm>
            <a:off x="22383886" y="7789747"/>
            <a:ext cx="335437" cy="2010745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15</xdr:col>
      <xdr:colOff>672352</xdr:colOff>
      <xdr:row>108</xdr:row>
      <xdr:rowOff>0</xdr:rowOff>
    </xdr:from>
    <xdr:to>
      <xdr:col>18</xdr:col>
      <xdr:colOff>672352</xdr:colOff>
      <xdr:row>109</xdr:row>
      <xdr:rowOff>206020</xdr:rowOff>
    </xdr:to>
    <xdr:sp macro="" textlink="">
      <xdr:nvSpPr>
        <xdr:cNvPr id="912" name="화살표: 오른쪽 911">
          <a:extLst>
            <a:ext uri="{FF2B5EF4-FFF2-40B4-BE49-F238E27FC236}">
              <a16:creationId xmlns:a16="http://schemas.microsoft.com/office/drawing/2014/main" id="{A092410C-878E-4C22-83EE-1B91E6191B93}"/>
            </a:ext>
          </a:extLst>
        </xdr:cNvPr>
        <xdr:cNvSpPr/>
      </xdr:nvSpPr>
      <xdr:spPr>
        <a:xfrm flipH="1">
          <a:off x="10757646" y="24249529"/>
          <a:ext cx="2017059" cy="430138"/>
        </a:xfrm>
        <a:prstGeom prst="rightArrow">
          <a:avLst/>
        </a:prstGeom>
        <a:solidFill>
          <a:srgbClr val="C00000"/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35</xdr:col>
      <xdr:colOff>667990</xdr:colOff>
      <xdr:row>106</xdr:row>
      <xdr:rowOff>0</xdr:rowOff>
    </xdr:from>
    <xdr:to>
      <xdr:col>41</xdr:col>
      <xdr:colOff>0</xdr:colOff>
      <xdr:row>113</xdr:row>
      <xdr:rowOff>1</xdr:rowOff>
    </xdr:to>
    <xdr:grpSp>
      <xdr:nvGrpSpPr>
        <xdr:cNvPr id="913" name="그룹 912">
          <a:extLst>
            <a:ext uri="{FF2B5EF4-FFF2-40B4-BE49-F238E27FC236}">
              <a16:creationId xmlns:a16="http://schemas.microsoft.com/office/drawing/2014/main" id="{A3F55ABB-239D-4473-AA65-E623622E858C}"/>
            </a:ext>
          </a:extLst>
        </xdr:cNvPr>
        <xdr:cNvGrpSpPr/>
      </xdr:nvGrpSpPr>
      <xdr:grpSpPr>
        <a:xfrm>
          <a:off x="24307308" y="23864455"/>
          <a:ext cx="3384465" cy="1575955"/>
          <a:chOff x="13095584" y="6887989"/>
          <a:chExt cx="3359401" cy="1550542"/>
        </a:xfrm>
      </xdr:grpSpPr>
      <xdr:sp macro="" textlink="">
        <xdr:nvSpPr>
          <xdr:cNvPr id="914" name="타원 913">
            <a:extLst>
              <a:ext uri="{FF2B5EF4-FFF2-40B4-BE49-F238E27FC236}">
                <a16:creationId xmlns:a16="http://schemas.microsoft.com/office/drawing/2014/main" id="{03994892-F1A7-2CD3-CECD-F6FD24B3A2FC}"/>
              </a:ext>
            </a:extLst>
          </xdr:cNvPr>
          <xdr:cNvSpPr/>
        </xdr:nvSpPr>
        <xdr:spPr>
          <a:xfrm>
            <a:off x="15320008" y="7970999"/>
            <a:ext cx="463103" cy="444285"/>
          </a:xfrm>
          <a:prstGeom prst="ellipse">
            <a:avLst/>
          </a:prstGeom>
          <a:solidFill>
            <a:schemeClr val="bg1">
              <a:lumMod val="85000"/>
            </a:schemeClr>
          </a:solidFill>
          <a:ln w="762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5" name="타원 914">
            <a:extLst>
              <a:ext uri="{FF2B5EF4-FFF2-40B4-BE49-F238E27FC236}">
                <a16:creationId xmlns:a16="http://schemas.microsoft.com/office/drawing/2014/main" id="{A9DB8A87-6A58-5744-0F90-9C7CA6FB2ECC}"/>
              </a:ext>
            </a:extLst>
          </xdr:cNvPr>
          <xdr:cNvSpPr/>
        </xdr:nvSpPr>
        <xdr:spPr>
          <a:xfrm>
            <a:off x="13768333" y="7994246"/>
            <a:ext cx="463103" cy="444285"/>
          </a:xfrm>
          <a:prstGeom prst="ellipse">
            <a:avLst/>
          </a:prstGeom>
          <a:solidFill>
            <a:schemeClr val="bg1">
              <a:lumMod val="85000"/>
            </a:schemeClr>
          </a:solidFill>
          <a:ln w="762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916" name="그룹 915">
            <a:extLst>
              <a:ext uri="{FF2B5EF4-FFF2-40B4-BE49-F238E27FC236}">
                <a16:creationId xmlns:a16="http://schemas.microsoft.com/office/drawing/2014/main" id="{A87B4BDB-B357-3221-6A37-C161B4DD35AA}"/>
              </a:ext>
            </a:extLst>
          </xdr:cNvPr>
          <xdr:cNvGrpSpPr/>
        </xdr:nvGrpSpPr>
        <xdr:grpSpPr>
          <a:xfrm>
            <a:off x="13095584" y="6887989"/>
            <a:ext cx="3359401" cy="1340917"/>
            <a:chOff x="10386713" y="5540991"/>
            <a:chExt cx="3349594" cy="1334124"/>
          </a:xfrm>
        </xdr:grpSpPr>
        <xdr:grpSp>
          <xdr:nvGrpSpPr>
            <xdr:cNvPr id="917" name="그룹 916">
              <a:extLst>
                <a:ext uri="{FF2B5EF4-FFF2-40B4-BE49-F238E27FC236}">
                  <a16:creationId xmlns:a16="http://schemas.microsoft.com/office/drawing/2014/main" id="{6C337998-5016-8342-C7E7-E19E8167BF0B}"/>
                </a:ext>
              </a:extLst>
            </xdr:cNvPr>
            <xdr:cNvGrpSpPr/>
          </xdr:nvGrpSpPr>
          <xdr:grpSpPr>
            <a:xfrm>
              <a:off x="10386713" y="5540991"/>
              <a:ext cx="3349594" cy="1334124"/>
              <a:chOff x="10373140" y="5469083"/>
              <a:chExt cx="3342858" cy="1313764"/>
            </a:xfrm>
          </xdr:grpSpPr>
          <xdr:sp macro="" textlink="">
            <xdr:nvSpPr>
              <xdr:cNvPr id="919" name="직사각형 918">
                <a:extLst>
                  <a:ext uri="{FF2B5EF4-FFF2-40B4-BE49-F238E27FC236}">
                    <a16:creationId xmlns:a16="http://schemas.microsoft.com/office/drawing/2014/main" id="{B6763A38-96A3-040C-8C9B-D38451CE0C38}"/>
                  </a:ext>
                </a:extLst>
              </xdr:cNvPr>
              <xdr:cNvSpPr/>
            </xdr:nvSpPr>
            <xdr:spPr>
              <a:xfrm>
                <a:off x="10373140" y="5471904"/>
                <a:ext cx="668571" cy="1310943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920" name="직사각형 919">
                <a:extLst>
                  <a:ext uri="{FF2B5EF4-FFF2-40B4-BE49-F238E27FC236}">
                    <a16:creationId xmlns:a16="http://schemas.microsoft.com/office/drawing/2014/main" id="{804B71EE-4278-EC02-5BB2-513F4DBE45C0}"/>
                  </a:ext>
                </a:extLst>
              </xdr:cNvPr>
              <xdr:cNvSpPr/>
            </xdr:nvSpPr>
            <xdr:spPr>
              <a:xfrm>
                <a:off x="11042568" y="6557005"/>
                <a:ext cx="2004859" cy="218661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921" name="직사각형 920">
                <a:extLst>
                  <a:ext uri="{FF2B5EF4-FFF2-40B4-BE49-F238E27FC236}">
                    <a16:creationId xmlns:a16="http://schemas.microsoft.com/office/drawing/2014/main" id="{879CB8A0-8505-F7C2-EB9E-01115ABB5DCB}"/>
                  </a:ext>
                </a:extLst>
              </xdr:cNvPr>
              <xdr:cNvSpPr/>
            </xdr:nvSpPr>
            <xdr:spPr>
              <a:xfrm>
                <a:off x="13047425" y="5469083"/>
                <a:ext cx="668573" cy="1310943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  <xdr:sp macro="" textlink="">
          <xdr:nvSpPr>
            <xdr:cNvPr id="918" name="직사각형 917">
              <a:extLst>
                <a:ext uri="{FF2B5EF4-FFF2-40B4-BE49-F238E27FC236}">
                  <a16:creationId xmlns:a16="http://schemas.microsoft.com/office/drawing/2014/main" id="{AB048463-D7EE-29D6-F141-D4FF6A57DCCF}"/>
                </a:ext>
              </a:extLst>
            </xdr:cNvPr>
            <xdr:cNvSpPr/>
          </xdr:nvSpPr>
          <xdr:spPr>
            <a:xfrm>
              <a:off x="11056632" y="6425391"/>
              <a:ext cx="2010335" cy="236891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18</xdr:col>
      <xdr:colOff>669234</xdr:colOff>
      <xdr:row>108</xdr:row>
      <xdr:rowOff>0</xdr:rowOff>
    </xdr:from>
    <xdr:to>
      <xdr:col>30</xdr:col>
      <xdr:colOff>669234</xdr:colOff>
      <xdr:row>109</xdr:row>
      <xdr:rowOff>206020</xdr:rowOff>
    </xdr:to>
    <xdr:sp macro="" textlink="">
      <xdr:nvSpPr>
        <xdr:cNvPr id="928" name="화살표: 오른쪽 927">
          <a:extLst>
            <a:ext uri="{FF2B5EF4-FFF2-40B4-BE49-F238E27FC236}">
              <a16:creationId xmlns:a16="http://schemas.microsoft.com/office/drawing/2014/main" id="{69479849-BEA8-FD18-E0A2-776EEC5E6AFB}"/>
            </a:ext>
          </a:extLst>
        </xdr:cNvPr>
        <xdr:cNvSpPr/>
      </xdr:nvSpPr>
      <xdr:spPr>
        <a:xfrm flipH="1">
          <a:off x="12715460" y="23681635"/>
          <a:ext cx="8030817" cy="424681"/>
        </a:xfrm>
        <a:prstGeom prst="rightArrow">
          <a:avLst/>
        </a:prstGeom>
        <a:solidFill>
          <a:srgbClr val="C00000"/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0</xdr:colOff>
      <xdr:row>107</xdr:row>
      <xdr:rowOff>179294</xdr:rowOff>
    </xdr:from>
    <xdr:to>
      <xdr:col>27</xdr:col>
      <xdr:colOff>0</xdr:colOff>
      <xdr:row>110</xdr:row>
      <xdr:rowOff>0</xdr:rowOff>
    </xdr:to>
    <xdr:sp macro="" textlink="">
      <xdr:nvSpPr>
        <xdr:cNvPr id="922" name="사각형: 둥근 모서리 921">
          <a:extLst>
            <a:ext uri="{FF2B5EF4-FFF2-40B4-BE49-F238E27FC236}">
              <a16:creationId xmlns:a16="http://schemas.microsoft.com/office/drawing/2014/main" id="{413E96A5-C4B9-413B-A77E-416A04F26F6E}"/>
            </a:ext>
          </a:extLst>
        </xdr:cNvPr>
        <xdr:cNvSpPr/>
      </xdr:nvSpPr>
      <xdr:spPr>
        <a:xfrm>
          <a:off x="16061635" y="23642268"/>
          <a:ext cx="2007704" cy="47668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encoder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496956</xdr:colOff>
      <xdr:row>107</xdr:row>
      <xdr:rowOff>159026</xdr:rowOff>
    </xdr:from>
    <xdr:to>
      <xdr:col>18</xdr:col>
      <xdr:colOff>496957</xdr:colOff>
      <xdr:row>109</xdr:row>
      <xdr:rowOff>198393</xdr:rowOff>
    </xdr:to>
    <xdr:sp macro="" textlink="">
      <xdr:nvSpPr>
        <xdr:cNvPr id="929" name="사각형: 둥근 모서리 928">
          <a:extLst>
            <a:ext uri="{FF2B5EF4-FFF2-40B4-BE49-F238E27FC236}">
              <a16:creationId xmlns:a16="http://schemas.microsoft.com/office/drawing/2014/main" id="{13273A91-D25C-3C58-3C1F-6041EF70CC66}"/>
            </a:ext>
          </a:extLst>
        </xdr:cNvPr>
        <xdr:cNvSpPr/>
      </xdr:nvSpPr>
      <xdr:spPr>
        <a:xfrm>
          <a:off x="11204713" y="23622000"/>
          <a:ext cx="1338470" cy="47668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sensor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30</xdr:col>
      <xdr:colOff>667292</xdr:colOff>
      <xdr:row>108</xdr:row>
      <xdr:rowOff>0</xdr:rowOff>
    </xdr:from>
    <xdr:to>
      <xdr:col>35</xdr:col>
      <xdr:colOff>674913</xdr:colOff>
      <xdr:row>109</xdr:row>
      <xdr:rowOff>206020</xdr:rowOff>
    </xdr:to>
    <xdr:sp macro="" textlink="">
      <xdr:nvSpPr>
        <xdr:cNvPr id="930" name="화살표: 오른쪽 929">
          <a:extLst>
            <a:ext uri="{FF2B5EF4-FFF2-40B4-BE49-F238E27FC236}">
              <a16:creationId xmlns:a16="http://schemas.microsoft.com/office/drawing/2014/main" id="{47F05EB6-06AF-4D01-BE3A-D7F09FDA7C1C}"/>
            </a:ext>
          </a:extLst>
        </xdr:cNvPr>
        <xdr:cNvSpPr/>
      </xdr:nvSpPr>
      <xdr:spPr>
        <a:xfrm flipH="1">
          <a:off x="20914721" y="23567571"/>
          <a:ext cx="3382192" cy="423735"/>
        </a:xfrm>
        <a:prstGeom prst="rightArrow">
          <a:avLst/>
        </a:prstGeom>
        <a:solidFill>
          <a:srgbClr val="C00000"/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32</xdr:col>
      <xdr:colOff>272143</xdr:colOff>
      <xdr:row>108</xdr:row>
      <xdr:rowOff>0</xdr:rowOff>
    </xdr:from>
    <xdr:to>
      <xdr:col>34</xdr:col>
      <xdr:colOff>272143</xdr:colOff>
      <xdr:row>110</xdr:row>
      <xdr:rowOff>39367</xdr:rowOff>
    </xdr:to>
    <xdr:sp macro="" textlink="">
      <xdr:nvSpPr>
        <xdr:cNvPr id="931" name="사각형: 둥근 모서리 930">
          <a:extLst>
            <a:ext uri="{FF2B5EF4-FFF2-40B4-BE49-F238E27FC236}">
              <a16:creationId xmlns:a16="http://schemas.microsoft.com/office/drawing/2014/main" id="{93BAF9D6-BA09-E3D4-C525-A1F07B3E3AA8}"/>
            </a:ext>
          </a:extLst>
        </xdr:cNvPr>
        <xdr:cNvSpPr/>
      </xdr:nvSpPr>
      <xdr:spPr>
        <a:xfrm>
          <a:off x="21869400" y="23567571"/>
          <a:ext cx="1349829" cy="47479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sensor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0</xdr:colOff>
      <xdr:row>94</xdr:row>
      <xdr:rowOff>0</xdr:rowOff>
    </xdr:from>
    <xdr:to>
      <xdr:col>27</xdr:col>
      <xdr:colOff>206829</xdr:colOff>
      <xdr:row>96</xdr:row>
      <xdr:rowOff>22859</xdr:rowOff>
    </xdr:to>
    <xdr:sp macro="" textlink="">
      <xdr:nvSpPr>
        <xdr:cNvPr id="932" name="직사각형 931">
          <a:extLst>
            <a:ext uri="{FF2B5EF4-FFF2-40B4-BE49-F238E27FC236}">
              <a16:creationId xmlns:a16="http://schemas.microsoft.com/office/drawing/2014/main" id="{0D5EE163-6C45-FEB1-DCC3-8FBDF5AAD461}"/>
            </a:ext>
          </a:extLst>
        </xdr:cNvPr>
        <xdr:cNvSpPr/>
      </xdr:nvSpPr>
      <xdr:spPr>
        <a:xfrm>
          <a:off x="11399520" y="19484340"/>
          <a:ext cx="2889069" cy="464819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600" b="1" baseline="0">
              <a:solidFill>
                <a:sysClr val="windowText" lastClr="000000"/>
              </a:solidFill>
            </a:rPr>
            <a:t>Init  ↔  Lift</a:t>
          </a:r>
          <a:endParaRPr lang="ko-KR" altLang="en-US" sz="2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0</xdr:colOff>
      <xdr:row>97</xdr:row>
      <xdr:rowOff>194855</xdr:rowOff>
    </xdr:from>
    <xdr:to>
      <xdr:col>27</xdr:col>
      <xdr:colOff>206829</xdr:colOff>
      <xdr:row>100</xdr:row>
      <xdr:rowOff>0</xdr:rowOff>
    </xdr:to>
    <xdr:sp macro="" textlink="">
      <xdr:nvSpPr>
        <xdr:cNvPr id="933" name="직사각형 932">
          <a:extLst>
            <a:ext uri="{FF2B5EF4-FFF2-40B4-BE49-F238E27FC236}">
              <a16:creationId xmlns:a16="http://schemas.microsoft.com/office/drawing/2014/main" id="{1B12D7AF-3178-683E-9C32-CE4F654782EC}"/>
            </a:ext>
          </a:extLst>
        </xdr:cNvPr>
        <xdr:cNvSpPr/>
      </xdr:nvSpPr>
      <xdr:spPr>
        <a:xfrm>
          <a:off x="11473543" y="20061284"/>
          <a:ext cx="2906486" cy="45828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600" b="1" baseline="0">
              <a:solidFill>
                <a:sysClr val="windowText" lastClr="000000"/>
              </a:solidFill>
            </a:rPr>
            <a:t>LIft  ↔  cell</a:t>
          </a:r>
          <a:endParaRPr lang="ko-KR" altLang="en-US" sz="2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28</xdr:col>
      <xdr:colOff>0</xdr:colOff>
      <xdr:row>93</xdr:row>
      <xdr:rowOff>198121</xdr:rowOff>
    </xdr:from>
    <xdr:to>
      <xdr:col>34</xdr:col>
      <xdr:colOff>0</xdr:colOff>
      <xdr:row>96</xdr:row>
      <xdr:rowOff>0</xdr:rowOff>
    </xdr:to>
    <xdr:sp macro="" textlink="">
      <xdr:nvSpPr>
        <xdr:cNvPr id="934" name="직사각형 933">
          <a:extLst>
            <a:ext uri="{FF2B5EF4-FFF2-40B4-BE49-F238E27FC236}">
              <a16:creationId xmlns:a16="http://schemas.microsoft.com/office/drawing/2014/main" id="{DAF2B9D6-9E52-7D4F-0AEC-F57A9C26DF6A}"/>
            </a:ext>
          </a:extLst>
        </xdr:cNvPr>
        <xdr:cNvSpPr/>
      </xdr:nvSpPr>
      <xdr:spPr>
        <a:xfrm>
          <a:off x="33250909" y="18222885"/>
          <a:ext cx="3990109" cy="46689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 baseline="0">
              <a:solidFill>
                <a:sysClr val="windowText" lastClr="000000"/>
              </a:solidFill>
            </a:rPr>
            <a:t>sensor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672352</xdr:colOff>
      <xdr:row>98</xdr:row>
      <xdr:rowOff>0</xdr:rowOff>
    </xdr:from>
    <xdr:to>
      <xdr:col>33</xdr:col>
      <xdr:colOff>672352</xdr:colOff>
      <xdr:row>100</xdr:row>
      <xdr:rowOff>26125</xdr:rowOff>
    </xdr:to>
    <xdr:sp macro="" textlink="">
      <xdr:nvSpPr>
        <xdr:cNvPr id="935" name="직사각형 934">
          <a:extLst>
            <a:ext uri="{FF2B5EF4-FFF2-40B4-BE49-F238E27FC236}">
              <a16:creationId xmlns:a16="http://schemas.microsoft.com/office/drawing/2014/main" id="{F845E94B-6D94-3DE4-59E1-7305B7F635A2}"/>
            </a:ext>
          </a:extLst>
        </xdr:cNvPr>
        <xdr:cNvSpPr/>
      </xdr:nvSpPr>
      <xdr:spPr>
        <a:xfrm>
          <a:off x="14791764" y="20663647"/>
          <a:ext cx="4034117" cy="4743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 baseline="0">
              <a:solidFill>
                <a:sysClr val="windowText" lastClr="000000"/>
              </a:solidFill>
            </a:rPr>
            <a:t>encoder  +  sensor</a:t>
          </a:r>
          <a:endParaRPr lang="ko-KR" altLang="en-US" sz="28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22</xdr:row>
      <xdr:rowOff>1</xdr:rowOff>
    </xdr:from>
    <xdr:to>
      <xdr:col>15</xdr:col>
      <xdr:colOff>524</xdr:colOff>
      <xdr:row>23</xdr:row>
      <xdr:rowOff>0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BBB699C7-52C9-42AD-A702-DEF56E614187}"/>
            </a:ext>
          </a:extLst>
        </xdr:cNvPr>
        <xdr:cNvSpPr/>
      </xdr:nvSpPr>
      <xdr:spPr>
        <a:xfrm>
          <a:off x="4677508" y="7596555"/>
          <a:ext cx="5346247" cy="222737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21</xdr:row>
      <xdr:rowOff>1919</xdr:rowOff>
    </xdr:from>
    <xdr:to>
      <xdr:col>15</xdr:col>
      <xdr:colOff>524</xdr:colOff>
      <xdr:row>22</xdr:row>
      <xdr:rowOff>0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58FD33A0-7EDE-451F-9299-5A67527A21DA}"/>
            </a:ext>
          </a:extLst>
        </xdr:cNvPr>
        <xdr:cNvSpPr/>
      </xdr:nvSpPr>
      <xdr:spPr>
        <a:xfrm>
          <a:off x="4677508" y="7375734"/>
          <a:ext cx="5346247" cy="22082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12</xdr:row>
      <xdr:rowOff>0</xdr:rowOff>
    </xdr:from>
    <xdr:to>
      <xdr:col>15</xdr:col>
      <xdr:colOff>524</xdr:colOff>
      <xdr:row>13</xdr:row>
      <xdr:rowOff>0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167B10F6-3BEB-495A-93B1-8AAA13DB8D0F}"/>
            </a:ext>
          </a:extLst>
        </xdr:cNvPr>
        <xdr:cNvSpPr/>
      </xdr:nvSpPr>
      <xdr:spPr>
        <a:xfrm>
          <a:off x="4677508" y="6037385"/>
          <a:ext cx="5346247" cy="222738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11</xdr:row>
      <xdr:rowOff>1919</xdr:rowOff>
    </xdr:from>
    <xdr:to>
      <xdr:col>15</xdr:col>
      <xdr:colOff>524</xdr:colOff>
      <xdr:row>12</xdr:row>
      <xdr:rowOff>0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34781CC6-EC38-4880-84AC-7E8EC7A06FF2}"/>
            </a:ext>
          </a:extLst>
        </xdr:cNvPr>
        <xdr:cNvSpPr/>
      </xdr:nvSpPr>
      <xdr:spPr>
        <a:xfrm>
          <a:off x="4677508" y="5816565"/>
          <a:ext cx="5346247" cy="22082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7</xdr:row>
      <xdr:rowOff>220579</xdr:rowOff>
    </xdr:from>
    <xdr:to>
      <xdr:col>15</xdr:col>
      <xdr:colOff>524</xdr:colOff>
      <xdr:row>10</xdr:row>
      <xdr:rowOff>218660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597D1BD7-F3AC-4DF8-8462-073BF1859B7D}"/>
            </a:ext>
          </a:extLst>
        </xdr:cNvPr>
        <xdr:cNvSpPr/>
      </xdr:nvSpPr>
      <xdr:spPr>
        <a:xfrm>
          <a:off x="4677508" y="5144271"/>
          <a:ext cx="5346247" cy="666297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669235</xdr:colOff>
      <xdr:row>8</xdr:row>
      <xdr:rowOff>220579</xdr:rowOff>
    </xdr:from>
    <xdr:to>
      <xdr:col>14</xdr:col>
      <xdr:colOff>1</xdr:colOff>
      <xdr:row>9</xdr:row>
      <xdr:rowOff>218660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27663F0D-9581-432E-B39B-0EB3245CBD3C}"/>
            </a:ext>
          </a:extLst>
        </xdr:cNvPr>
        <xdr:cNvSpPr/>
      </xdr:nvSpPr>
      <xdr:spPr>
        <a:xfrm>
          <a:off x="5346743" y="5367010"/>
          <a:ext cx="4008273" cy="220819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15</xdr:col>
      <xdr:colOff>524</xdr:colOff>
      <xdr:row>25</xdr:row>
      <xdr:rowOff>218660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572A165B-F316-4497-8E99-510E1158D1B8}"/>
            </a:ext>
          </a:extLst>
        </xdr:cNvPr>
        <xdr:cNvSpPr/>
      </xdr:nvSpPr>
      <xdr:spPr>
        <a:xfrm>
          <a:off x="4677508" y="7819292"/>
          <a:ext cx="5346247" cy="664137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669235</xdr:colOff>
      <xdr:row>24</xdr:row>
      <xdr:rowOff>0</xdr:rowOff>
    </xdr:from>
    <xdr:to>
      <xdr:col>14</xdr:col>
      <xdr:colOff>1</xdr:colOff>
      <xdr:row>24</xdr:row>
      <xdr:rowOff>218660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56A707AA-6750-42F3-AFEA-0E59ADB45193}"/>
            </a:ext>
          </a:extLst>
        </xdr:cNvPr>
        <xdr:cNvSpPr/>
      </xdr:nvSpPr>
      <xdr:spPr>
        <a:xfrm>
          <a:off x="5346743" y="8042031"/>
          <a:ext cx="4008273" cy="218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524</xdr:colOff>
      <xdr:row>9</xdr:row>
      <xdr:rowOff>108368</xdr:rowOff>
    </xdr:from>
    <xdr:to>
      <xdr:col>16</xdr:col>
      <xdr:colOff>0</xdr:colOff>
      <xdr:row>9</xdr:row>
      <xdr:rowOff>108783</xdr:rowOff>
    </xdr:to>
    <xdr:cxnSp macro="">
      <xdr:nvCxnSpPr>
        <xdr:cNvPr id="48" name="직선 화살표 연결선 47">
          <a:extLst>
            <a:ext uri="{FF2B5EF4-FFF2-40B4-BE49-F238E27FC236}">
              <a16:creationId xmlns:a16="http://schemas.microsoft.com/office/drawing/2014/main" id="{059ABB03-9E51-E208-0DF0-C693F84159C2}"/>
            </a:ext>
          </a:extLst>
        </xdr:cNvPr>
        <xdr:cNvCxnSpPr>
          <a:cxnSpLocks/>
          <a:endCxn id="43" idx="3"/>
        </xdr:cNvCxnSpPr>
      </xdr:nvCxnSpPr>
      <xdr:spPr>
        <a:xfrm flipH="1" flipV="1">
          <a:off x="10058924" y="1455584"/>
          <a:ext cx="670036" cy="41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524</xdr:colOff>
      <xdr:row>11</xdr:row>
      <xdr:rowOff>112212</xdr:rowOff>
    </xdr:from>
    <xdr:to>
      <xdr:col>16</xdr:col>
      <xdr:colOff>0</xdr:colOff>
      <xdr:row>11</xdr:row>
      <xdr:rowOff>112212</xdr:rowOff>
    </xdr:to>
    <xdr:cxnSp macro="">
      <xdr:nvCxnSpPr>
        <xdr:cNvPr id="52" name="직선 화살표 연결선 51">
          <a:extLst>
            <a:ext uri="{FF2B5EF4-FFF2-40B4-BE49-F238E27FC236}">
              <a16:creationId xmlns:a16="http://schemas.microsoft.com/office/drawing/2014/main" id="{B071E13F-FD14-A58C-FE1E-3D35E9E3AD08}"/>
            </a:ext>
          </a:extLst>
        </xdr:cNvPr>
        <xdr:cNvCxnSpPr>
          <a:cxnSpLocks/>
          <a:endCxn id="42" idx="3"/>
        </xdr:cNvCxnSpPr>
      </xdr:nvCxnSpPr>
      <xdr:spPr>
        <a:xfrm flipH="1">
          <a:off x="10058924" y="1904436"/>
          <a:ext cx="670036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524</xdr:colOff>
      <xdr:row>12</xdr:row>
      <xdr:rowOff>111252</xdr:rowOff>
    </xdr:from>
    <xdr:to>
      <xdr:col>16</xdr:col>
      <xdr:colOff>0</xdr:colOff>
      <xdr:row>12</xdr:row>
      <xdr:rowOff>111252</xdr:rowOff>
    </xdr:to>
    <xdr:cxnSp macro="">
      <xdr:nvCxnSpPr>
        <xdr:cNvPr id="53" name="직선 화살표 연결선 52">
          <a:extLst>
            <a:ext uri="{FF2B5EF4-FFF2-40B4-BE49-F238E27FC236}">
              <a16:creationId xmlns:a16="http://schemas.microsoft.com/office/drawing/2014/main" id="{9027A3C8-2EAE-E60F-4BCC-DC3F563A3E81}"/>
            </a:ext>
          </a:extLst>
        </xdr:cNvPr>
        <xdr:cNvCxnSpPr>
          <a:cxnSpLocks/>
          <a:endCxn id="41" idx="3"/>
        </xdr:cNvCxnSpPr>
      </xdr:nvCxnSpPr>
      <xdr:spPr>
        <a:xfrm flipH="1">
          <a:off x="10058924" y="2125980"/>
          <a:ext cx="670036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22</xdr:row>
      <xdr:rowOff>1</xdr:rowOff>
    </xdr:from>
    <xdr:to>
      <xdr:col>42</xdr:col>
      <xdr:colOff>524</xdr:colOff>
      <xdr:row>23</xdr:row>
      <xdr:rowOff>0</xdr:rowOff>
    </xdr:to>
    <xdr:sp macro="" textlink="">
      <xdr:nvSpPr>
        <xdr:cNvPr id="163" name="직사각형 162">
          <a:extLst>
            <a:ext uri="{FF2B5EF4-FFF2-40B4-BE49-F238E27FC236}">
              <a16:creationId xmlns:a16="http://schemas.microsoft.com/office/drawing/2014/main" id="{A07E82D0-66B1-4A5E-BED8-1A7072AA158C}"/>
            </a:ext>
          </a:extLst>
        </xdr:cNvPr>
        <xdr:cNvSpPr/>
      </xdr:nvSpPr>
      <xdr:spPr>
        <a:xfrm>
          <a:off x="40233600" y="15392401"/>
          <a:ext cx="5365004" cy="213359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21</xdr:row>
      <xdr:rowOff>1919</xdr:rowOff>
    </xdr:from>
    <xdr:to>
      <xdr:col>42</xdr:col>
      <xdr:colOff>524</xdr:colOff>
      <xdr:row>22</xdr:row>
      <xdr:rowOff>0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AC7403B3-6E0A-4F5D-A4AC-2C0524F3EB0B}"/>
            </a:ext>
          </a:extLst>
        </xdr:cNvPr>
        <xdr:cNvSpPr/>
      </xdr:nvSpPr>
      <xdr:spPr>
        <a:xfrm>
          <a:off x="40233600" y="15180959"/>
          <a:ext cx="5365004" cy="211441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12</xdr:row>
      <xdr:rowOff>0</xdr:rowOff>
    </xdr:from>
    <xdr:to>
      <xdr:col>42</xdr:col>
      <xdr:colOff>524</xdr:colOff>
      <xdr:row>13</xdr:row>
      <xdr:rowOff>0</xdr:rowOff>
    </xdr:to>
    <xdr:sp macro="" textlink="">
      <xdr:nvSpPr>
        <xdr:cNvPr id="165" name="직사각형 164">
          <a:extLst>
            <a:ext uri="{FF2B5EF4-FFF2-40B4-BE49-F238E27FC236}">
              <a16:creationId xmlns:a16="http://schemas.microsoft.com/office/drawing/2014/main" id="{DE819924-289B-4DED-9DD1-6F0E2C5F742E}"/>
            </a:ext>
          </a:extLst>
        </xdr:cNvPr>
        <xdr:cNvSpPr/>
      </xdr:nvSpPr>
      <xdr:spPr>
        <a:xfrm>
          <a:off x="40233600" y="13258800"/>
          <a:ext cx="5365004" cy="21336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11</xdr:row>
      <xdr:rowOff>1919</xdr:rowOff>
    </xdr:from>
    <xdr:to>
      <xdr:col>42</xdr:col>
      <xdr:colOff>524</xdr:colOff>
      <xdr:row>12</xdr:row>
      <xdr:rowOff>0</xdr:rowOff>
    </xdr:to>
    <xdr:sp macro="" textlink="">
      <xdr:nvSpPr>
        <xdr:cNvPr id="166" name="직사각형 165">
          <a:extLst>
            <a:ext uri="{FF2B5EF4-FFF2-40B4-BE49-F238E27FC236}">
              <a16:creationId xmlns:a16="http://schemas.microsoft.com/office/drawing/2014/main" id="{413A9429-9B7E-45BA-948B-CE91BE50647D}"/>
            </a:ext>
          </a:extLst>
        </xdr:cNvPr>
        <xdr:cNvSpPr/>
      </xdr:nvSpPr>
      <xdr:spPr>
        <a:xfrm>
          <a:off x="40233600" y="13047359"/>
          <a:ext cx="5365004" cy="211441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7</xdr:row>
      <xdr:rowOff>220579</xdr:rowOff>
    </xdr:from>
    <xdr:to>
      <xdr:col>42</xdr:col>
      <xdr:colOff>524</xdr:colOff>
      <xdr:row>10</xdr:row>
      <xdr:rowOff>218660</xdr:rowOff>
    </xdr:to>
    <xdr:sp macro="" textlink="">
      <xdr:nvSpPr>
        <xdr:cNvPr id="167" name="직사각형 166">
          <a:extLst>
            <a:ext uri="{FF2B5EF4-FFF2-40B4-BE49-F238E27FC236}">
              <a16:creationId xmlns:a16="http://schemas.microsoft.com/office/drawing/2014/main" id="{4E9B6C67-EE7A-4CE4-B24D-1A475DCB5346}"/>
            </a:ext>
          </a:extLst>
        </xdr:cNvPr>
        <xdr:cNvSpPr/>
      </xdr:nvSpPr>
      <xdr:spPr>
        <a:xfrm>
          <a:off x="40233600" y="12412579"/>
          <a:ext cx="5365004" cy="638161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669235</xdr:colOff>
      <xdr:row>8</xdr:row>
      <xdr:rowOff>220579</xdr:rowOff>
    </xdr:from>
    <xdr:to>
      <xdr:col>41</xdr:col>
      <xdr:colOff>1</xdr:colOff>
      <xdr:row>9</xdr:row>
      <xdr:rowOff>218660</xdr:rowOff>
    </xdr:to>
    <xdr:sp macro="" textlink="">
      <xdr:nvSpPr>
        <xdr:cNvPr id="168" name="직사각형 167">
          <a:extLst>
            <a:ext uri="{FF2B5EF4-FFF2-40B4-BE49-F238E27FC236}">
              <a16:creationId xmlns:a16="http://schemas.microsoft.com/office/drawing/2014/main" id="{9F367AA2-C44B-4BA3-A191-07BA4973FCC3}"/>
            </a:ext>
          </a:extLst>
        </xdr:cNvPr>
        <xdr:cNvSpPr/>
      </xdr:nvSpPr>
      <xdr:spPr>
        <a:xfrm>
          <a:off x="40902835" y="12625939"/>
          <a:ext cx="4024686" cy="21144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23</xdr:row>
      <xdr:rowOff>0</xdr:rowOff>
    </xdr:from>
    <xdr:to>
      <xdr:col>42</xdr:col>
      <xdr:colOff>524</xdr:colOff>
      <xdr:row>25</xdr:row>
      <xdr:rowOff>218660</xdr:rowOff>
    </xdr:to>
    <xdr:sp macro="" textlink="">
      <xdr:nvSpPr>
        <xdr:cNvPr id="169" name="직사각형 168">
          <a:extLst>
            <a:ext uri="{FF2B5EF4-FFF2-40B4-BE49-F238E27FC236}">
              <a16:creationId xmlns:a16="http://schemas.microsoft.com/office/drawing/2014/main" id="{9C30E915-A5BA-4B93-A6C3-34294AB8C17E}"/>
            </a:ext>
          </a:extLst>
        </xdr:cNvPr>
        <xdr:cNvSpPr/>
      </xdr:nvSpPr>
      <xdr:spPr>
        <a:xfrm>
          <a:off x="40233600" y="15605760"/>
          <a:ext cx="5365004" cy="64538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669235</xdr:colOff>
      <xdr:row>24</xdr:row>
      <xdr:rowOff>0</xdr:rowOff>
    </xdr:from>
    <xdr:to>
      <xdr:col>41</xdr:col>
      <xdr:colOff>1</xdr:colOff>
      <xdr:row>24</xdr:row>
      <xdr:rowOff>218660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E287468F-D473-4D8F-B83E-75C5E4EAD473}"/>
            </a:ext>
          </a:extLst>
        </xdr:cNvPr>
        <xdr:cNvSpPr/>
      </xdr:nvSpPr>
      <xdr:spPr>
        <a:xfrm>
          <a:off x="40902835" y="15819120"/>
          <a:ext cx="4024686" cy="218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0</xdr:colOff>
      <xdr:row>14</xdr:row>
      <xdr:rowOff>8965</xdr:rowOff>
    </xdr:from>
    <xdr:to>
      <xdr:col>40</xdr:col>
      <xdr:colOff>0</xdr:colOff>
      <xdr:row>20</xdr:row>
      <xdr:rowOff>0</xdr:rowOff>
    </xdr:to>
    <xdr:sp macro="" textlink="">
      <xdr:nvSpPr>
        <xdr:cNvPr id="171" name="사각형: 둥근 모서리 170">
          <a:extLst>
            <a:ext uri="{FF2B5EF4-FFF2-40B4-BE49-F238E27FC236}">
              <a16:creationId xmlns:a16="http://schemas.microsoft.com/office/drawing/2014/main" id="{2285CFB6-0DE1-4589-A865-6DF35E738914}"/>
            </a:ext>
          </a:extLst>
        </xdr:cNvPr>
        <xdr:cNvSpPr/>
      </xdr:nvSpPr>
      <xdr:spPr>
        <a:xfrm>
          <a:off x="41574720" y="13694485"/>
          <a:ext cx="2682240" cy="1271195"/>
        </a:xfrm>
        <a:prstGeom prst="roundRect">
          <a:avLst/>
        </a:prstGeom>
        <a:ln w="57150">
          <a:solidFill>
            <a:schemeClr val="tx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28</xdr:col>
      <xdr:colOff>670036</xdr:colOff>
      <xdr:row>46</xdr:row>
      <xdr:rowOff>0</xdr:rowOff>
    </xdr:from>
    <xdr:to>
      <xdr:col>37</xdr:col>
      <xdr:colOff>0</xdr:colOff>
      <xdr:row>46</xdr:row>
      <xdr:rowOff>220979</xdr:rowOff>
    </xdr:to>
    <xdr:sp macro="" textlink="">
      <xdr:nvSpPr>
        <xdr:cNvPr id="173" name="직사각형 172">
          <a:extLst>
            <a:ext uri="{FF2B5EF4-FFF2-40B4-BE49-F238E27FC236}">
              <a16:creationId xmlns:a16="http://schemas.microsoft.com/office/drawing/2014/main" id="{4ED0903F-21B9-46BF-A443-1FE4065D7BC8}"/>
            </a:ext>
          </a:extLst>
        </xdr:cNvPr>
        <xdr:cNvSpPr/>
      </xdr:nvSpPr>
      <xdr:spPr>
        <a:xfrm>
          <a:off x="17434036" y="10210800"/>
          <a:ext cx="5365004" cy="220979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670036</xdr:colOff>
      <xdr:row>45</xdr:row>
      <xdr:rowOff>1919</xdr:rowOff>
    </xdr:from>
    <xdr:to>
      <xdr:col>34</xdr:col>
      <xdr:colOff>0</xdr:colOff>
      <xdr:row>46</xdr:row>
      <xdr:rowOff>0</xdr:rowOff>
    </xdr:to>
    <xdr:sp macro="" textlink="">
      <xdr:nvSpPr>
        <xdr:cNvPr id="174" name="직사각형 173">
          <a:extLst>
            <a:ext uri="{FF2B5EF4-FFF2-40B4-BE49-F238E27FC236}">
              <a16:creationId xmlns:a16="http://schemas.microsoft.com/office/drawing/2014/main" id="{B82A34C8-BA2F-4F0B-B7CE-54C3E999304A}"/>
            </a:ext>
          </a:extLst>
        </xdr:cNvPr>
        <xdr:cNvSpPr/>
      </xdr:nvSpPr>
      <xdr:spPr>
        <a:xfrm>
          <a:off x="15422356" y="9999359"/>
          <a:ext cx="5365004" cy="211441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670036</xdr:colOff>
      <xdr:row>36</xdr:row>
      <xdr:rowOff>0</xdr:rowOff>
    </xdr:from>
    <xdr:to>
      <xdr:col>34</xdr:col>
      <xdr:colOff>0</xdr:colOff>
      <xdr:row>37</xdr:row>
      <xdr:rowOff>0</xdr:rowOff>
    </xdr:to>
    <xdr:sp macro="" textlink="">
      <xdr:nvSpPr>
        <xdr:cNvPr id="175" name="직사각형 174">
          <a:extLst>
            <a:ext uri="{FF2B5EF4-FFF2-40B4-BE49-F238E27FC236}">
              <a16:creationId xmlns:a16="http://schemas.microsoft.com/office/drawing/2014/main" id="{6ABE7ED2-2E11-4B4C-9DE5-AAAC43C75541}"/>
            </a:ext>
          </a:extLst>
        </xdr:cNvPr>
        <xdr:cNvSpPr/>
      </xdr:nvSpPr>
      <xdr:spPr>
        <a:xfrm>
          <a:off x="15422356" y="8077200"/>
          <a:ext cx="5365004" cy="21336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29</xdr:col>
      <xdr:colOff>0</xdr:colOff>
      <xdr:row>35</xdr:row>
      <xdr:rowOff>1919</xdr:rowOff>
    </xdr:from>
    <xdr:to>
      <xdr:col>37</xdr:col>
      <xdr:colOff>524</xdr:colOff>
      <xdr:row>36</xdr:row>
      <xdr:rowOff>0</xdr:rowOff>
    </xdr:to>
    <xdr:sp macro="" textlink="">
      <xdr:nvSpPr>
        <xdr:cNvPr id="176" name="직사각형 175">
          <a:extLst>
            <a:ext uri="{FF2B5EF4-FFF2-40B4-BE49-F238E27FC236}">
              <a16:creationId xmlns:a16="http://schemas.microsoft.com/office/drawing/2014/main" id="{9230AB80-5081-4C30-A63F-479D455E0A10}"/>
            </a:ext>
          </a:extLst>
        </xdr:cNvPr>
        <xdr:cNvSpPr/>
      </xdr:nvSpPr>
      <xdr:spPr>
        <a:xfrm>
          <a:off x="17434560" y="7865759"/>
          <a:ext cx="5365004" cy="211441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31</xdr:row>
      <xdr:rowOff>220579</xdr:rowOff>
    </xdr:from>
    <xdr:to>
      <xdr:col>42</xdr:col>
      <xdr:colOff>524</xdr:colOff>
      <xdr:row>34</xdr:row>
      <xdr:rowOff>218660</xdr:rowOff>
    </xdr:to>
    <xdr:sp macro="" textlink="">
      <xdr:nvSpPr>
        <xdr:cNvPr id="177" name="직사각형 176">
          <a:extLst>
            <a:ext uri="{FF2B5EF4-FFF2-40B4-BE49-F238E27FC236}">
              <a16:creationId xmlns:a16="http://schemas.microsoft.com/office/drawing/2014/main" id="{752EC548-9CB3-4317-A770-ACB6B27FF25E}"/>
            </a:ext>
          </a:extLst>
        </xdr:cNvPr>
        <xdr:cNvSpPr/>
      </xdr:nvSpPr>
      <xdr:spPr>
        <a:xfrm>
          <a:off x="20787360" y="7230979"/>
          <a:ext cx="5365004" cy="638161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669235</xdr:colOff>
      <xdr:row>32</xdr:row>
      <xdr:rowOff>220579</xdr:rowOff>
    </xdr:from>
    <xdr:to>
      <xdr:col>41</xdr:col>
      <xdr:colOff>1</xdr:colOff>
      <xdr:row>33</xdr:row>
      <xdr:rowOff>218660</xdr:rowOff>
    </xdr:to>
    <xdr:sp macro="" textlink="">
      <xdr:nvSpPr>
        <xdr:cNvPr id="178" name="직사각형 177">
          <a:extLst>
            <a:ext uri="{FF2B5EF4-FFF2-40B4-BE49-F238E27FC236}">
              <a16:creationId xmlns:a16="http://schemas.microsoft.com/office/drawing/2014/main" id="{C5C8C44C-FF2E-4E67-AB30-A6D2480C1C42}"/>
            </a:ext>
          </a:extLst>
        </xdr:cNvPr>
        <xdr:cNvSpPr/>
      </xdr:nvSpPr>
      <xdr:spPr>
        <a:xfrm>
          <a:off x="21456595" y="7444339"/>
          <a:ext cx="4024686" cy="21144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42</xdr:col>
      <xdr:colOff>524</xdr:colOff>
      <xdr:row>49</xdr:row>
      <xdr:rowOff>218660</xdr:rowOff>
    </xdr:to>
    <xdr:sp macro="" textlink="">
      <xdr:nvSpPr>
        <xdr:cNvPr id="179" name="직사각형 178">
          <a:extLst>
            <a:ext uri="{FF2B5EF4-FFF2-40B4-BE49-F238E27FC236}">
              <a16:creationId xmlns:a16="http://schemas.microsoft.com/office/drawing/2014/main" id="{43C7BC5D-C4AF-4AF2-B392-0305B974DAE6}"/>
            </a:ext>
          </a:extLst>
        </xdr:cNvPr>
        <xdr:cNvSpPr/>
      </xdr:nvSpPr>
      <xdr:spPr>
        <a:xfrm>
          <a:off x="20787360" y="10424160"/>
          <a:ext cx="5365004" cy="64538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669235</xdr:colOff>
      <xdr:row>48</xdr:row>
      <xdr:rowOff>0</xdr:rowOff>
    </xdr:from>
    <xdr:to>
      <xdr:col>41</xdr:col>
      <xdr:colOff>1</xdr:colOff>
      <xdr:row>48</xdr:row>
      <xdr:rowOff>218660</xdr:rowOff>
    </xdr:to>
    <xdr:sp macro="" textlink="">
      <xdr:nvSpPr>
        <xdr:cNvPr id="180" name="직사각형 179">
          <a:extLst>
            <a:ext uri="{FF2B5EF4-FFF2-40B4-BE49-F238E27FC236}">
              <a16:creationId xmlns:a16="http://schemas.microsoft.com/office/drawing/2014/main" id="{7163DA49-82C4-430C-8716-34F1450A04A8}"/>
            </a:ext>
          </a:extLst>
        </xdr:cNvPr>
        <xdr:cNvSpPr/>
      </xdr:nvSpPr>
      <xdr:spPr>
        <a:xfrm>
          <a:off x="21456595" y="10637520"/>
          <a:ext cx="4024686" cy="218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30</xdr:col>
      <xdr:colOff>0</xdr:colOff>
      <xdr:row>38</xdr:row>
      <xdr:rowOff>5006</xdr:rowOff>
    </xdr:from>
    <xdr:to>
      <xdr:col>34</xdr:col>
      <xdr:colOff>5060</xdr:colOff>
      <xdr:row>44</xdr:row>
      <xdr:rowOff>0</xdr:rowOff>
    </xdr:to>
    <xdr:sp macro="" textlink="">
      <xdr:nvSpPr>
        <xdr:cNvPr id="181" name="사각형: 둥근 모서리 180">
          <a:extLst>
            <a:ext uri="{FF2B5EF4-FFF2-40B4-BE49-F238E27FC236}">
              <a16:creationId xmlns:a16="http://schemas.microsoft.com/office/drawing/2014/main" id="{46566D02-A963-4A35-BE8E-3A7A8E7B155C}"/>
            </a:ext>
          </a:extLst>
        </xdr:cNvPr>
        <xdr:cNvSpPr/>
      </xdr:nvSpPr>
      <xdr:spPr>
        <a:xfrm>
          <a:off x="57176276" y="8528896"/>
          <a:ext cx="2695708" cy="1319297"/>
        </a:xfrm>
        <a:prstGeom prst="roundRect">
          <a:avLst/>
        </a:prstGeom>
        <a:ln w="57150">
          <a:solidFill>
            <a:schemeClr val="tx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35</xdr:col>
      <xdr:colOff>10885</xdr:colOff>
      <xdr:row>40</xdr:row>
      <xdr:rowOff>0</xdr:rowOff>
    </xdr:from>
    <xdr:to>
      <xdr:col>40</xdr:col>
      <xdr:colOff>10886</xdr:colOff>
      <xdr:row>42</xdr:row>
      <xdr:rowOff>0</xdr:rowOff>
    </xdr:to>
    <xdr:sp macro="" textlink="">
      <xdr:nvSpPr>
        <xdr:cNvPr id="182" name="화살표: 오른쪽 181">
          <a:extLst>
            <a:ext uri="{FF2B5EF4-FFF2-40B4-BE49-F238E27FC236}">
              <a16:creationId xmlns:a16="http://schemas.microsoft.com/office/drawing/2014/main" id="{75D04381-1E03-4E58-946E-C5C20353AFB1}"/>
            </a:ext>
          </a:extLst>
        </xdr:cNvPr>
        <xdr:cNvSpPr/>
      </xdr:nvSpPr>
      <xdr:spPr>
        <a:xfrm flipH="1">
          <a:off x="60753171" y="8850086"/>
          <a:ext cx="3374572" cy="435428"/>
        </a:xfrm>
        <a:prstGeom prst="rightArrow">
          <a:avLst/>
        </a:prstGeom>
        <a:solidFill>
          <a:schemeClr val="bg1">
            <a:lumMod val="95000"/>
          </a:schemeClr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28</xdr:col>
      <xdr:colOff>670036</xdr:colOff>
      <xdr:row>70</xdr:row>
      <xdr:rowOff>0</xdr:rowOff>
    </xdr:from>
    <xdr:to>
      <xdr:col>37</xdr:col>
      <xdr:colOff>0</xdr:colOff>
      <xdr:row>70</xdr:row>
      <xdr:rowOff>220979</xdr:rowOff>
    </xdr:to>
    <xdr:sp macro="" textlink="">
      <xdr:nvSpPr>
        <xdr:cNvPr id="183" name="직사각형 182">
          <a:extLst>
            <a:ext uri="{FF2B5EF4-FFF2-40B4-BE49-F238E27FC236}">
              <a16:creationId xmlns:a16="http://schemas.microsoft.com/office/drawing/2014/main" id="{BF36741F-195F-497F-8FBB-2ABF5BE7BC5C}"/>
            </a:ext>
          </a:extLst>
        </xdr:cNvPr>
        <xdr:cNvSpPr/>
      </xdr:nvSpPr>
      <xdr:spPr>
        <a:xfrm>
          <a:off x="17434036" y="10210800"/>
          <a:ext cx="5365004" cy="220979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670036</xdr:colOff>
      <xdr:row>69</xdr:row>
      <xdr:rowOff>1919</xdr:rowOff>
    </xdr:from>
    <xdr:to>
      <xdr:col>34</xdr:col>
      <xdr:colOff>0</xdr:colOff>
      <xdr:row>70</xdr:row>
      <xdr:rowOff>0</xdr:rowOff>
    </xdr:to>
    <xdr:sp macro="" textlink="">
      <xdr:nvSpPr>
        <xdr:cNvPr id="184" name="직사각형 183">
          <a:extLst>
            <a:ext uri="{FF2B5EF4-FFF2-40B4-BE49-F238E27FC236}">
              <a16:creationId xmlns:a16="http://schemas.microsoft.com/office/drawing/2014/main" id="{33B1123D-48E1-4551-A5EE-F23680620828}"/>
            </a:ext>
          </a:extLst>
        </xdr:cNvPr>
        <xdr:cNvSpPr/>
      </xdr:nvSpPr>
      <xdr:spPr>
        <a:xfrm>
          <a:off x="15422356" y="9999359"/>
          <a:ext cx="5365004" cy="211441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670036</xdr:colOff>
      <xdr:row>60</xdr:row>
      <xdr:rowOff>0</xdr:rowOff>
    </xdr:from>
    <xdr:to>
      <xdr:col>34</xdr:col>
      <xdr:colOff>0</xdr:colOff>
      <xdr:row>61</xdr:row>
      <xdr:rowOff>0</xdr:rowOff>
    </xdr:to>
    <xdr:sp macro="" textlink="">
      <xdr:nvSpPr>
        <xdr:cNvPr id="185" name="직사각형 184">
          <a:extLst>
            <a:ext uri="{FF2B5EF4-FFF2-40B4-BE49-F238E27FC236}">
              <a16:creationId xmlns:a16="http://schemas.microsoft.com/office/drawing/2014/main" id="{7E1E1903-E2E0-49F7-AC4D-2B51B8015F8B}"/>
            </a:ext>
          </a:extLst>
        </xdr:cNvPr>
        <xdr:cNvSpPr/>
      </xdr:nvSpPr>
      <xdr:spPr>
        <a:xfrm>
          <a:off x="15422356" y="8077200"/>
          <a:ext cx="5365004" cy="21336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29</xdr:col>
      <xdr:colOff>0</xdr:colOff>
      <xdr:row>59</xdr:row>
      <xdr:rowOff>1919</xdr:rowOff>
    </xdr:from>
    <xdr:to>
      <xdr:col>37</xdr:col>
      <xdr:colOff>524</xdr:colOff>
      <xdr:row>60</xdr:row>
      <xdr:rowOff>0</xdr:rowOff>
    </xdr:to>
    <xdr:sp macro="" textlink="">
      <xdr:nvSpPr>
        <xdr:cNvPr id="186" name="직사각형 185">
          <a:extLst>
            <a:ext uri="{FF2B5EF4-FFF2-40B4-BE49-F238E27FC236}">
              <a16:creationId xmlns:a16="http://schemas.microsoft.com/office/drawing/2014/main" id="{4463A96F-842E-4BD4-810B-DB9F5695BE01}"/>
            </a:ext>
          </a:extLst>
        </xdr:cNvPr>
        <xdr:cNvSpPr/>
      </xdr:nvSpPr>
      <xdr:spPr>
        <a:xfrm>
          <a:off x="17434560" y="7865759"/>
          <a:ext cx="5365004" cy="211441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55</xdr:row>
      <xdr:rowOff>220579</xdr:rowOff>
    </xdr:from>
    <xdr:to>
      <xdr:col>42</xdr:col>
      <xdr:colOff>524</xdr:colOff>
      <xdr:row>58</xdr:row>
      <xdr:rowOff>218660</xdr:rowOff>
    </xdr:to>
    <xdr:sp macro="" textlink="">
      <xdr:nvSpPr>
        <xdr:cNvPr id="187" name="직사각형 186">
          <a:extLst>
            <a:ext uri="{FF2B5EF4-FFF2-40B4-BE49-F238E27FC236}">
              <a16:creationId xmlns:a16="http://schemas.microsoft.com/office/drawing/2014/main" id="{994D4515-9D98-473A-A928-7242392C3C4E}"/>
            </a:ext>
          </a:extLst>
        </xdr:cNvPr>
        <xdr:cNvSpPr/>
      </xdr:nvSpPr>
      <xdr:spPr>
        <a:xfrm>
          <a:off x="20787360" y="7230979"/>
          <a:ext cx="5365004" cy="638161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669235</xdr:colOff>
      <xdr:row>56</xdr:row>
      <xdr:rowOff>220579</xdr:rowOff>
    </xdr:from>
    <xdr:to>
      <xdr:col>41</xdr:col>
      <xdr:colOff>1</xdr:colOff>
      <xdr:row>57</xdr:row>
      <xdr:rowOff>218660</xdr:rowOff>
    </xdr:to>
    <xdr:sp macro="" textlink="">
      <xdr:nvSpPr>
        <xdr:cNvPr id="188" name="직사각형 187">
          <a:extLst>
            <a:ext uri="{FF2B5EF4-FFF2-40B4-BE49-F238E27FC236}">
              <a16:creationId xmlns:a16="http://schemas.microsoft.com/office/drawing/2014/main" id="{0478F8ED-A3C7-408A-A8B9-51CCC37091E7}"/>
            </a:ext>
          </a:extLst>
        </xdr:cNvPr>
        <xdr:cNvSpPr/>
      </xdr:nvSpPr>
      <xdr:spPr>
        <a:xfrm>
          <a:off x="21456595" y="7444339"/>
          <a:ext cx="4024686" cy="21144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71</xdr:row>
      <xdr:rowOff>0</xdr:rowOff>
    </xdr:from>
    <xdr:to>
      <xdr:col>42</xdr:col>
      <xdr:colOff>524</xdr:colOff>
      <xdr:row>73</xdr:row>
      <xdr:rowOff>218660</xdr:rowOff>
    </xdr:to>
    <xdr:sp macro="" textlink="">
      <xdr:nvSpPr>
        <xdr:cNvPr id="189" name="직사각형 188">
          <a:extLst>
            <a:ext uri="{FF2B5EF4-FFF2-40B4-BE49-F238E27FC236}">
              <a16:creationId xmlns:a16="http://schemas.microsoft.com/office/drawing/2014/main" id="{3BCB4BEA-2E73-4248-9BEC-27FEF8BB7462}"/>
            </a:ext>
          </a:extLst>
        </xdr:cNvPr>
        <xdr:cNvSpPr/>
      </xdr:nvSpPr>
      <xdr:spPr>
        <a:xfrm>
          <a:off x="20787360" y="10424160"/>
          <a:ext cx="5365004" cy="64538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669235</xdr:colOff>
      <xdr:row>72</xdr:row>
      <xdr:rowOff>0</xdr:rowOff>
    </xdr:from>
    <xdr:to>
      <xdr:col>41</xdr:col>
      <xdr:colOff>1</xdr:colOff>
      <xdr:row>72</xdr:row>
      <xdr:rowOff>218660</xdr:rowOff>
    </xdr:to>
    <xdr:sp macro="" textlink="">
      <xdr:nvSpPr>
        <xdr:cNvPr id="190" name="직사각형 189">
          <a:extLst>
            <a:ext uri="{FF2B5EF4-FFF2-40B4-BE49-F238E27FC236}">
              <a16:creationId xmlns:a16="http://schemas.microsoft.com/office/drawing/2014/main" id="{E484A456-6295-42FC-8F47-A34259D8BEC8}"/>
            </a:ext>
          </a:extLst>
        </xdr:cNvPr>
        <xdr:cNvSpPr/>
      </xdr:nvSpPr>
      <xdr:spPr>
        <a:xfrm>
          <a:off x="21456595" y="10637520"/>
          <a:ext cx="4024686" cy="218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29</xdr:col>
      <xdr:colOff>670559</xdr:colOff>
      <xdr:row>62</xdr:row>
      <xdr:rowOff>5006</xdr:rowOff>
    </xdr:from>
    <xdr:to>
      <xdr:col>34</xdr:col>
      <xdr:colOff>0</xdr:colOff>
      <xdr:row>68</xdr:row>
      <xdr:rowOff>0</xdr:rowOff>
    </xdr:to>
    <xdr:sp macro="" textlink="">
      <xdr:nvSpPr>
        <xdr:cNvPr id="191" name="사각형: 둥근 모서리 190">
          <a:extLst>
            <a:ext uri="{FF2B5EF4-FFF2-40B4-BE49-F238E27FC236}">
              <a16:creationId xmlns:a16="http://schemas.microsoft.com/office/drawing/2014/main" id="{F5E980F9-2934-4971-9C65-6B7B8EB81E73}"/>
            </a:ext>
          </a:extLst>
        </xdr:cNvPr>
        <xdr:cNvSpPr/>
      </xdr:nvSpPr>
      <xdr:spPr>
        <a:xfrm>
          <a:off x="56997599" y="13820066"/>
          <a:ext cx="2682241" cy="1320874"/>
        </a:xfrm>
        <a:prstGeom prst="roundRect">
          <a:avLst/>
        </a:prstGeom>
        <a:ln w="57150">
          <a:solidFill>
            <a:schemeClr val="tx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94</xdr:row>
      <xdr:rowOff>1</xdr:rowOff>
    </xdr:from>
    <xdr:to>
      <xdr:col>42</xdr:col>
      <xdr:colOff>524</xdr:colOff>
      <xdr:row>95</xdr:row>
      <xdr:rowOff>0</xdr:rowOff>
    </xdr:to>
    <xdr:sp macro="" textlink="">
      <xdr:nvSpPr>
        <xdr:cNvPr id="193" name="직사각형 192">
          <a:extLst>
            <a:ext uri="{FF2B5EF4-FFF2-40B4-BE49-F238E27FC236}">
              <a16:creationId xmlns:a16="http://schemas.microsoft.com/office/drawing/2014/main" id="{9021A018-68B6-4903-B5A9-FA34341CE9A7}"/>
            </a:ext>
          </a:extLst>
        </xdr:cNvPr>
        <xdr:cNvSpPr/>
      </xdr:nvSpPr>
      <xdr:spPr>
        <a:xfrm>
          <a:off x="20787360" y="4968241"/>
          <a:ext cx="5365004" cy="213359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93</xdr:row>
      <xdr:rowOff>1919</xdr:rowOff>
    </xdr:from>
    <xdr:to>
      <xdr:col>42</xdr:col>
      <xdr:colOff>524</xdr:colOff>
      <xdr:row>94</xdr:row>
      <xdr:rowOff>0</xdr:rowOff>
    </xdr:to>
    <xdr:sp macro="" textlink="">
      <xdr:nvSpPr>
        <xdr:cNvPr id="194" name="직사각형 193">
          <a:extLst>
            <a:ext uri="{FF2B5EF4-FFF2-40B4-BE49-F238E27FC236}">
              <a16:creationId xmlns:a16="http://schemas.microsoft.com/office/drawing/2014/main" id="{A839E4E8-9F87-4673-82A0-C1891F408E82}"/>
            </a:ext>
          </a:extLst>
        </xdr:cNvPr>
        <xdr:cNvSpPr/>
      </xdr:nvSpPr>
      <xdr:spPr>
        <a:xfrm>
          <a:off x="20787360" y="4756799"/>
          <a:ext cx="5365004" cy="211441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84</xdr:row>
      <xdr:rowOff>0</xdr:rowOff>
    </xdr:from>
    <xdr:to>
      <xdr:col>42</xdr:col>
      <xdr:colOff>524</xdr:colOff>
      <xdr:row>85</xdr:row>
      <xdr:rowOff>0</xdr:rowOff>
    </xdr:to>
    <xdr:sp macro="" textlink="">
      <xdr:nvSpPr>
        <xdr:cNvPr id="195" name="직사각형 194">
          <a:extLst>
            <a:ext uri="{FF2B5EF4-FFF2-40B4-BE49-F238E27FC236}">
              <a16:creationId xmlns:a16="http://schemas.microsoft.com/office/drawing/2014/main" id="{5E85F05E-E2F8-46AC-9C73-005EBE89EB25}"/>
            </a:ext>
          </a:extLst>
        </xdr:cNvPr>
        <xdr:cNvSpPr/>
      </xdr:nvSpPr>
      <xdr:spPr>
        <a:xfrm>
          <a:off x="20787360" y="2804160"/>
          <a:ext cx="5365004" cy="24384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83</xdr:row>
      <xdr:rowOff>1919</xdr:rowOff>
    </xdr:from>
    <xdr:to>
      <xdr:col>42</xdr:col>
      <xdr:colOff>524</xdr:colOff>
      <xdr:row>84</xdr:row>
      <xdr:rowOff>0</xdr:rowOff>
    </xdr:to>
    <xdr:sp macro="" textlink="">
      <xdr:nvSpPr>
        <xdr:cNvPr id="196" name="직사각형 195">
          <a:extLst>
            <a:ext uri="{FF2B5EF4-FFF2-40B4-BE49-F238E27FC236}">
              <a16:creationId xmlns:a16="http://schemas.microsoft.com/office/drawing/2014/main" id="{093A9864-47E1-4737-BCE9-FAEEF207520B}"/>
            </a:ext>
          </a:extLst>
        </xdr:cNvPr>
        <xdr:cNvSpPr/>
      </xdr:nvSpPr>
      <xdr:spPr>
        <a:xfrm>
          <a:off x="20787360" y="2562239"/>
          <a:ext cx="5365004" cy="241921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79</xdr:row>
      <xdr:rowOff>220579</xdr:rowOff>
    </xdr:from>
    <xdr:to>
      <xdr:col>42</xdr:col>
      <xdr:colOff>524</xdr:colOff>
      <xdr:row>82</xdr:row>
      <xdr:rowOff>218660</xdr:rowOff>
    </xdr:to>
    <xdr:sp macro="" textlink="">
      <xdr:nvSpPr>
        <xdr:cNvPr id="197" name="직사각형 196">
          <a:extLst>
            <a:ext uri="{FF2B5EF4-FFF2-40B4-BE49-F238E27FC236}">
              <a16:creationId xmlns:a16="http://schemas.microsoft.com/office/drawing/2014/main" id="{ECD7D204-FBA9-486A-BB72-E16C463A81AE}"/>
            </a:ext>
          </a:extLst>
        </xdr:cNvPr>
        <xdr:cNvSpPr/>
      </xdr:nvSpPr>
      <xdr:spPr>
        <a:xfrm>
          <a:off x="20787360" y="1836019"/>
          <a:ext cx="5365004" cy="699121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669235</xdr:colOff>
      <xdr:row>80</xdr:row>
      <xdr:rowOff>220579</xdr:rowOff>
    </xdr:from>
    <xdr:to>
      <xdr:col>41</xdr:col>
      <xdr:colOff>1</xdr:colOff>
      <xdr:row>81</xdr:row>
      <xdr:rowOff>218660</xdr:rowOff>
    </xdr:to>
    <xdr:sp macro="" textlink="">
      <xdr:nvSpPr>
        <xdr:cNvPr id="198" name="직사각형 197">
          <a:extLst>
            <a:ext uri="{FF2B5EF4-FFF2-40B4-BE49-F238E27FC236}">
              <a16:creationId xmlns:a16="http://schemas.microsoft.com/office/drawing/2014/main" id="{D4216787-3F80-4106-B6FD-2EBED1206471}"/>
            </a:ext>
          </a:extLst>
        </xdr:cNvPr>
        <xdr:cNvSpPr/>
      </xdr:nvSpPr>
      <xdr:spPr>
        <a:xfrm>
          <a:off x="21456595" y="2049379"/>
          <a:ext cx="4024686" cy="24192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95</xdr:row>
      <xdr:rowOff>0</xdr:rowOff>
    </xdr:from>
    <xdr:to>
      <xdr:col>42</xdr:col>
      <xdr:colOff>524</xdr:colOff>
      <xdr:row>97</xdr:row>
      <xdr:rowOff>218660</xdr:rowOff>
    </xdr:to>
    <xdr:sp macro="" textlink="">
      <xdr:nvSpPr>
        <xdr:cNvPr id="199" name="직사각형 198">
          <a:extLst>
            <a:ext uri="{FF2B5EF4-FFF2-40B4-BE49-F238E27FC236}">
              <a16:creationId xmlns:a16="http://schemas.microsoft.com/office/drawing/2014/main" id="{B2D64156-8381-43FB-8783-6E71DEB20192}"/>
            </a:ext>
          </a:extLst>
        </xdr:cNvPr>
        <xdr:cNvSpPr/>
      </xdr:nvSpPr>
      <xdr:spPr>
        <a:xfrm>
          <a:off x="20787360" y="5181600"/>
          <a:ext cx="5365004" cy="70634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669235</xdr:colOff>
      <xdr:row>96</xdr:row>
      <xdr:rowOff>0</xdr:rowOff>
    </xdr:from>
    <xdr:to>
      <xdr:col>41</xdr:col>
      <xdr:colOff>1</xdr:colOff>
      <xdr:row>96</xdr:row>
      <xdr:rowOff>218660</xdr:rowOff>
    </xdr:to>
    <xdr:sp macro="" textlink="">
      <xdr:nvSpPr>
        <xdr:cNvPr id="200" name="직사각형 199">
          <a:extLst>
            <a:ext uri="{FF2B5EF4-FFF2-40B4-BE49-F238E27FC236}">
              <a16:creationId xmlns:a16="http://schemas.microsoft.com/office/drawing/2014/main" id="{83633673-3728-48A5-B618-6A2EC64A66CB}"/>
            </a:ext>
          </a:extLst>
        </xdr:cNvPr>
        <xdr:cNvSpPr/>
      </xdr:nvSpPr>
      <xdr:spPr>
        <a:xfrm>
          <a:off x="21456595" y="5425440"/>
          <a:ext cx="4024686" cy="218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30</xdr:col>
      <xdr:colOff>0</xdr:colOff>
      <xdr:row>86</xdr:row>
      <xdr:rowOff>8965</xdr:rowOff>
    </xdr:from>
    <xdr:to>
      <xdr:col>34</xdr:col>
      <xdr:colOff>7621</xdr:colOff>
      <xdr:row>92</xdr:row>
      <xdr:rowOff>0</xdr:rowOff>
    </xdr:to>
    <xdr:sp macro="" textlink="">
      <xdr:nvSpPr>
        <xdr:cNvPr id="201" name="사각형: 둥근 모서리 200">
          <a:extLst>
            <a:ext uri="{FF2B5EF4-FFF2-40B4-BE49-F238E27FC236}">
              <a16:creationId xmlns:a16="http://schemas.microsoft.com/office/drawing/2014/main" id="{F7C440B8-3497-4AAE-A2AC-8FE48C7B0B8F}"/>
            </a:ext>
          </a:extLst>
        </xdr:cNvPr>
        <xdr:cNvSpPr/>
      </xdr:nvSpPr>
      <xdr:spPr>
        <a:xfrm>
          <a:off x="20247429" y="18906565"/>
          <a:ext cx="2707278" cy="1297321"/>
        </a:xfrm>
        <a:prstGeom prst="roundRect">
          <a:avLst/>
        </a:prstGeom>
        <a:ln w="57150">
          <a:solidFill>
            <a:schemeClr val="tx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659336</xdr:colOff>
      <xdr:row>87</xdr:row>
      <xdr:rowOff>218660</xdr:rowOff>
    </xdr:from>
    <xdr:to>
      <xdr:col>40</xdr:col>
      <xdr:colOff>0</xdr:colOff>
      <xdr:row>90</xdr:row>
      <xdr:rowOff>0</xdr:rowOff>
    </xdr:to>
    <xdr:sp macro="" textlink="">
      <xdr:nvSpPr>
        <xdr:cNvPr id="241" name="화살표: 오른쪽 240">
          <a:extLst>
            <a:ext uri="{FF2B5EF4-FFF2-40B4-BE49-F238E27FC236}">
              <a16:creationId xmlns:a16="http://schemas.microsoft.com/office/drawing/2014/main" id="{875DA319-CE82-B0E2-4F65-12F55A4AF943}"/>
            </a:ext>
          </a:extLst>
        </xdr:cNvPr>
        <xdr:cNvSpPr/>
      </xdr:nvSpPr>
      <xdr:spPr>
        <a:xfrm>
          <a:off x="23413319" y="19467443"/>
          <a:ext cx="3356072" cy="437322"/>
        </a:xfrm>
        <a:prstGeom prst="rightArrow">
          <a:avLst/>
        </a:prstGeom>
        <a:solidFill>
          <a:schemeClr val="bg1">
            <a:lumMod val="95000"/>
          </a:schemeClr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33</xdr:col>
      <xdr:colOff>489235</xdr:colOff>
      <xdr:row>12</xdr:row>
      <xdr:rowOff>13252</xdr:rowOff>
    </xdr:from>
    <xdr:to>
      <xdr:col>34</xdr:col>
      <xdr:colOff>0</xdr:colOff>
      <xdr:row>15</xdr:row>
      <xdr:rowOff>218660</xdr:rowOff>
    </xdr:to>
    <xdr:sp macro="" textlink="">
      <xdr:nvSpPr>
        <xdr:cNvPr id="242" name="직사각형 241">
          <a:extLst>
            <a:ext uri="{FF2B5EF4-FFF2-40B4-BE49-F238E27FC236}">
              <a16:creationId xmlns:a16="http://schemas.microsoft.com/office/drawing/2014/main" id="{9A1B2EF6-DB56-1A92-D294-BAAC401E6B73}"/>
            </a:ext>
          </a:extLst>
        </xdr:cNvPr>
        <xdr:cNvSpPr/>
      </xdr:nvSpPr>
      <xdr:spPr>
        <a:xfrm>
          <a:off x="59381896" y="2743200"/>
          <a:ext cx="180000" cy="874643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33</xdr:col>
      <xdr:colOff>489235</xdr:colOff>
      <xdr:row>18</xdr:row>
      <xdr:rowOff>0</xdr:rowOff>
    </xdr:from>
    <xdr:to>
      <xdr:col>34</xdr:col>
      <xdr:colOff>0</xdr:colOff>
      <xdr:row>21</xdr:row>
      <xdr:rowOff>218660</xdr:rowOff>
    </xdr:to>
    <xdr:sp macro="" textlink="">
      <xdr:nvSpPr>
        <xdr:cNvPr id="243" name="직사각형 242">
          <a:extLst>
            <a:ext uri="{FF2B5EF4-FFF2-40B4-BE49-F238E27FC236}">
              <a16:creationId xmlns:a16="http://schemas.microsoft.com/office/drawing/2014/main" id="{C70753A4-F2F4-1BB8-C2BA-8E8C78BE2F7C}"/>
            </a:ext>
          </a:extLst>
        </xdr:cNvPr>
        <xdr:cNvSpPr/>
      </xdr:nvSpPr>
      <xdr:spPr>
        <a:xfrm>
          <a:off x="59381896" y="4055165"/>
          <a:ext cx="180000" cy="874643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42</xdr:col>
      <xdr:colOff>0</xdr:colOff>
      <xdr:row>12</xdr:row>
      <xdr:rowOff>13253</xdr:rowOff>
    </xdr:from>
    <xdr:to>
      <xdr:col>42</xdr:col>
      <xdr:colOff>180000</xdr:colOff>
      <xdr:row>16</xdr:row>
      <xdr:rowOff>1</xdr:rowOff>
    </xdr:to>
    <xdr:sp macro="" textlink="">
      <xdr:nvSpPr>
        <xdr:cNvPr id="244" name="직사각형 243">
          <a:extLst>
            <a:ext uri="{FF2B5EF4-FFF2-40B4-BE49-F238E27FC236}">
              <a16:creationId xmlns:a16="http://schemas.microsoft.com/office/drawing/2014/main" id="{B088C775-AAE5-8F9E-41D9-FF2DC68285D9}"/>
            </a:ext>
          </a:extLst>
        </xdr:cNvPr>
        <xdr:cNvSpPr/>
      </xdr:nvSpPr>
      <xdr:spPr>
        <a:xfrm>
          <a:off x="64915774" y="2743201"/>
          <a:ext cx="180000" cy="874643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42</xdr:col>
      <xdr:colOff>0</xdr:colOff>
      <xdr:row>18</xdr:row>
      <xdr:rowOff>1</xdr:rowOff>
    </xdr:from>
    <xdr:to>
      <xdr:col>42</xdr:col>
      <xdr:colOff>180000</xdr:colOff>
      <xdr:row>22</xdr:row>
      <xdr:rowOff>0</xdr:rowOff>
    </xdr:to>
    <xdr:sp macro="" textlink="">
      <xdr:nvSpPr>
        <xdr:cNvPr id="245" name="직사각형 244">
          <a:extLst>
            <a:ext uri="{FF2B5EF4-FFF2-40B4-BE49-F238E27FC236}">
              <a16:creationId xmlns:a16="http://schemas.microsoft.com/office/drawing/2014/main" id="{1C9296C4-457F-8BD7-2293-9561FEC5F692}"/>
            </a:ext>
          </a:extLst>
        </xdr:cNvPr>
        <xdr:cNvSpPr/>
      </xdr:nvSpPr>
      <xdr:spPr>
        <a:xfrm>
          <a:off x="64915774" y="4055166"/>
          <a:ext cx="180000" cy="874643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489235</xdr:colOff>
      <xdr:row>42</xdr:row>
      <xdr:rowOff>5458</xdr:rowOff>
    </xdr:from>
    <xdr:to>
      <xdr:col>26</xdr:col>
      <xdr:colOff>0</xdr:colOff>
      <xdr:row>46</xdr:row>
      <xdr:rowOff>0</xdr:rowOff>
    </xdr:to>
    <xdr:sp macro="" textlink="">
      <xdr:nvSpPr>
        <xdr:cNvPr id="247" name="직사각형 246">
          <a:extLst>
            <a:ext uri="{FF2B5EF4-FFF2-40B4-BE49-F238E27FC236}">
              <a16:creationId xmlns:a16="http://schemas.microsoft.com/office/drawing/2014/main" id="{DA394EF0-D23D-2007-DEBB-95B660A58FC7}"/>
            </a:ext>
          </a:extLst>
        </xdr:cNvPr>
        <xdr:cNvSpPr/>
      </xdr:nvSpPr>
      <xdr:spPr>
        <a:xfrm>
          <a:off x="54277470" y="9534940"/>
          <a:ext cx="183118" cy="891013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36</xdr:row>
      <xdr:rowOff>9050</xdr:rowOff>
    </xdr:from>
    <xdr:to>
      <xdr:col>34</xdr:col>
      <xdr:colOff>179160</xdr:colOff>
      <xdr:row>40</xdr:row>
      <xdr:rowOff>4763</xdr:rowOff>
    </xdr:to>
    <xdr:sp macro="" textlink="">
      <xdr:nvSpPr>
        <xdr:cNvPr id="248" name="직사각형 247">
          <a:extLst>
            <a:ext uri="{FF2B5EF4-FFF2-40B4-BE49-F238E27FC236}">
              <a16:creationId xmlns:a16="http://schemas.microsoft.com/office/drawing/2014/main" id="{2812CA00-076B-2D4F-69DE-1741F24999DC}"/>
            </a:ext>
          </a:extLst>
        </xdr:cNvPr>
        <xdr:cNvSpPr/>
      </xdr:nvSpPr>
      <xdr:spPr>
        <a:xfrm>
          <a:off x="59764613" y="8019575"/>
          <a:ext cx="179160" cy="872013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42</xdr:row>
      <xdr:rowOff>4763</xdr:rowOff>
    </xdr:from>
    <xdr:to>
      <xdr:col>34</xdr:col>
      <xdr:colOff>179160</xdr:colOff>
      <xdr:row>46</xdr:row>
      <xdr:rowOff>4762</xdr:rowOff>
    </xdr:to>
    <xdr:sp macro="" textlink="">
      <xdr:nvSpPr>
        <xdr:cNvPr id="249" name="직사각형 248">
          <a:extLst>
            <a:ext uri="{FF2B5EF4-FFF2-40B4-BE49-F238E27FC236}">
              <a16:creationId xmlns:a16="http://schemas.microsoft.com/office/drawing/2014/main" id="{70AFD918-5591-30E7-099F-4D03F6C9999B}"/>
            </a:ext>
          </a:extLst>
        </xdr:cNvPr>
        <xdr:cNvSpPr/>
      </xdr:nvSpPr>
      <xdr:spPr>
        <a:xfrm>
          <a:off x="59764613" y="9329738"/>
          <a:ext cx="179160" cy="876299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0</xdr:colOff>
      <xdr:row>60</xdr:row>
      <xdr:rowOff>0</xdr:rowOff>
    </xdr:from>
    <xdr:to>
      <xdr:col>26</xdr:col>
      <xdr:colOff>0</xdr:colOff>
      <xdr:row>61</xdr:row>
      <xdr:rowOff>0</xdr:rowOff>
    </xdr:to>
    <xdr:sp macro="" textlink="">
      <xdr:nvSpPr>
        <xdr:cNvPr id="250" name="직사각형 249">
          <a:extLst>
            <a:ext uri="{FF2B5EF4-FFF2-40B4-BE49-F238E27FC236}">
              <a16:creationId xmlns:a16="http://schemas.microsoft.com/office/drawing/2014/main" id="{6CD91972-11A6-1617-C6E7-90C23C30CF3D}"/>
            </a:ext>
          </a:extLst>
        </xdr:cNvPr>
        <xdr:cNvSpPr/>
      </xdr:nvSpPr>
      <xdr:spPr>
        <a:xfrm>
          <a:off x="53721000" y="13287375"/>
          <a:ext cx="671513" cy="219075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0</xdr:colOff>
      <xdr:row>69</xdr:row>
      <xdr:rowOff>0</xdr:rowOff>
    </xdr:from>
    <xdr:to>
      <xdr:col>26</xdr:col>
      <xdr:colOff>0</xdr:colOff>
      <xdr:row>70</xdr:row>
      <xdr:rowOff>0</xdr:rowOff>
    </xdr:to>
    <xdr:sp macro="" textlink="">
      <xdr:nvSpPr>
        <xdr:cNvPr id="253" name="직사각형 252">
          <a:extLst>
            <a:ext uri="{FF2B5EF4-FFF2-40B4-BE49-F238E27FC236}">
              <a16:creationId xmlns:a16="http://schemas.microsoft.com/office/drawing/2014/main" id="{A8840E36-EC21-1095-8A3D-625484AEEAC6}"/>
            </a:ext>
          </a:extLst>
        </xdr:cNvPr>
        <xdr:cNvSpPr/>
      </xdr:nvSpPr>
      <xdr:spPr>
        <a:xfrm>
          <a:off x="53812966" y="15387145"/>
          <a:ext cx="672662" cy="220717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60</xdr:row>
      <xdr:rowOff>0</xdr:rowOff>
    </xdr:from>
    <xdr:to>
      <xdr:col>35</xdr:col>
      <xdr:colOff>0</xdr:colOff>
      <xdr:row>61</xdr:row>
      <xdr:rowOff>0</xdr:rowOff>
    </xdr:to>
    <xdr:sp macro="" textlink="">
      <xdr:nvSpPr>
        <xdr:cNvPr id="254" name="직사각형 253">
          <a:extLst>
            <a:ext uri="{FF2B5EF4-FFF2-40B4-BE49-F238E27FC236}">
              <a16:creationId xmlns:a16="http://schemas.microsoft.com/office/drawing/2014/main" id="{82C1DAE9-8083-41D1-9816-7CE35DEAA706}"/>
            </a:ext>
          </a:extLst>
        </xdr:cNvPr>
        <xdr:cNvSpPr/>
      </xdr:nvSpPr>
      <xdr:spPr>
        <a:xfrm>
          <a:off x="59866924" y="13400690"/>
          <a:ext cx="672662" cy="220717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69</xdr:row>
      <xdr:rowOff>0</xdr:rowOff>
    </xdr:from>
    <xdr:to>
      <xdr:col>35</xdr:col>
      <xdr:colOff>0</xdr:colOff>
      <xdr:row>70</xdr:row>
      <xdr:rowOff>0</xdr:rowOff>
    </xdr:to>
    <xdr:sp macro="" textlink="">
      <xdr:nvSpPr>
        <xdr:cNvPr id="255" name="직사각형 254">
          <a:extLst>
            <a:ext uri="{FF2B5EF4-FFF2-40B4-BE49-F238E27FC236}">
              <a16:creationId xmlns:a16="http://schemas.microsoft.com/office/drawing/2014/main" id="{BB131CB8-BD55-7C3A-287B-E6B59304F5E2}"/>
            </a:ext>
          </a:extLst>
        </xdr:cNvPr>
        <xdr:cNvSpPr/>
      </xdr:nvSpPr>
      <xdr:spPr>
        <a:xfrm>
          <a:off x="59866924" y="15387145"/>
          <a:ext cx="672662" cy="220717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33</xdr:col>
      <xdr:colOff>1</xdr:colOff>
      <xdr:row>84</xdr:row>
      <xdr:rowOff>0</xdr:rowOff>
    </xdr:from>
    <xdr:to>
      <xdr:col>34</xdr:col>
      <xdr:colOff>1</xdr:colOff>
      <xdr:row>85</xdr:row>
      <xdr:rowOff>0</xdr:rowOff>
    </xdr:to>
    <xdr:sp macro="" textlink="">
      <xdr:nvSpPr>
        <xdr:cNvPr id="256" name="직사각형 255">
          <a:extLst>
            <a:ext uri="{FF2B5EF4-FFF2-40B4-BE49-F238E27FC236}">
              <a16:creationId xmlns:a16="http://schemas.microsoft.com/office/drawing/2014/main" id="{5E1753DE-AF01-3393-41C7-15EA0A7A10B2}"/>
            </a:ext>
          </a:extLst>
        </xdr:cNvPr>
        <xdr:cNvSpPr/>
      </xdr:nvSpPr>
      <xdr:spPr>
        <a:xfrm>
          <a:off x="59392458" y="18473057"/>
          <a:ext cx="674914" cy="217714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33</xdr:col>
      <xdr:colOff>1</xdr:colOff>
      <xdr:row>93</xdr:row>
      <xdr:rowOff>-1</xdr:rowOff>
    </xdr:from>
    <xdr:to>
      <xdr:col>34</xdr:col>
      <xdr:colOff>1</xdr:colOff>
      <xdr:row>94</xdr:row>
      <xdr:rowOff>0</xdr:rowOff>
    </xdr:to>
    <xdr:sp macro="" textlink="">
      <xdr:nvSpPr>
        <xdr:cNvPr id="257" name="직사각형 256">
          <a:extLst>
            <a:ext uri="{FF2B5EF4-FFF2-40B4-BE49-F238E27FC236}">
              <a16:creationId xmlns:a16="http://schemas.microsoft.com/office/drawing/2014/main" id="{DD6F7C94-3E3E-17A6-2B34-FAA50B604BB1}"/>
            </a:ext>
          </a:extLst>
        </xdr:cNvPr>
        <xdr:cNvSpPr/>
      </xdr:nvSpPr>
      <xdr:spPr>
        <a:xfrm>
          <a:off x="59392458" y="20432485"/>
          <a:ext cx="674914" cy="217715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42</xdr:col>
      <xdr:colOff>0</xdr:colOff>
      <xdr:row>84</xdr:row>
      <xdr:rowOff>0</xdr:rowOff>
    </xdr:from>
    <xdr:to>
      <xdr:col>43</xdr:col>
      <xdr:colOff>1</xdr:colOff>
      <xdr:row>85</xdr:row>
      <xdr:rowOff>0</xdr:rowOff>
    </xdr:to>
    <xdr:sp macro="" textlink="">
      <xdr:nvSpPr>
        <xdr:cNvPr id="258" name="직사각형 257">
          <a:extLst>
            <a:ext uri="{FF2B5EF4-FFF2-40B4-BE49-F238E27FC236}">
              <a16:creationId xmlns:a16="http://schemas.microsoft.com/office/drawing/2014/main" id="{503B5766-7524-9ADC-85F7-B50243CBEE52}"/>
            </a:ext>
          </a:extLst>
        </xdr:cNvPr>
        <xdr:cNvSpPr/>
      </xdr:nvSpPr>
      <xdr:spPr>
        <a:xfrm>
          <a:off x="65466686" y="18473057"/>
          <a:ext cx="674915" cy="217714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42</xdr:col>
      <xdr:colOff>0</xdr:colOff>
      <xdr:row>93</xdr:row>
      <xdr:rowOff>-1</xdr:rowOff>
    </xdr:from>
    <xdr:to>
      <xdr:col>43</xdr:col>
      <xdr:colOff>1</xdr:colOff>
      <xdr:row>94</xdr:row>
      <xdr:rowOff>0</xdr:rowOff>
    </xdr:to>
    <xdr:sp macro="" textlink="">
      <xdr:nvSpPr>
        <xdr:cNvPr id="259" name="직사각형 258">
          <a:extLst>
            <a:ext uri="{FF2B5EF4-FFF2-40B4-BE49-F238E27FC236}">
              <a16:creationId xmlns:a16="http://schemas.microsoft.com/office/drawing/2014/main" id="{014D705C-8901-9836-9C56-8321A1A39CC7}"/>
            </a:ext>
          </a:extLst>
        </xdr:cNvPr>
        <xdr:cNvSpPr/>
      </xdr:nvSpPr>
      <xdr:spPr>
        <a:xfrm>
          <a:off x="65466686" y="20432485"/>
          <a:ext cx="674915" cy="217715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489235</xdr:colOff>
      <xdr:row>36</xdr:row>
      <xdr:rowOff>0</xdr:rowOff>
    </xdr:from>
    <xdr:to>
      <xdr:col>26</xdr:col>
      <xdr:colOff>0</xdr:colOff>
      <xdr:row>39</xdr:row>
      <xdr:rowOff>217046</xdr:rowOff>
    </xdr:to>
    <xdr:sp macro="" textlink="">
      <xdr:nvSpPr>
        <xdr:cNvPr id="262" name="직사각형 261">
          <a:extLst>
            <a:ext uri="{FF2B5EF4-FFF2-40B4-BE49-F238E27FC236}">
              <a16:creationId xmlns:a16="http://schemas.microsoft.com/office/drawing/2014/main" id="{AD16A51D-F6EE-5F8B-0520-7F4DE630AEAE}"/>
            </a:ext>
          </a:extLst>
        </xdr:cNvPr>
        <xdr:cNvSpPr/>
      </xdr:nvSpPr>
      <xdr:spPr>
        <a:xfrm>
          <a:off x="54134035" y="8089392"/>
          <a:ext cx="181325" cy="884558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129</xdr:row>
      <xdr:rowOff>1</xdr:rowOff>
    </xdr:from>
    <xdr:to>
      <xdr:col>42</xdr:col>
      <xdr:colOff>524</xdr:colOff>
      <xdr:row>130</xdr:row>
      <xdr:rowOff>0</xdr:rowOff>
    </xdr:to>
    <xdr:sp macro="" textlink="">
      <xdr:nvSpPr>
        <xdr:cNvPr id="266" name="직사각형 265">
          <a:extLst>
            <a:ext uri="{FF2B5EF4-FFF2-40B4-BE49-F238E27FC236}">
              <a16:creationId xmlns:a16="http://schemas.microsoft.com/office/drawing/2014/main" id="{2B36A0F6-61F9-43EF-A211-5C518CD78B07}"/>
            </a:ext>
          </a:extLst>
        </xdr:cNvPr>
        <xdr:cNvSpPr/>
      </xdr:nvSpPr>
      <xdr:spPr>
        <a:xfrm>
          <a:off x="59679840" y="4968241"/>
          <a:ext cx="5365004" cy="213359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128</xdr:row>
      <xdr:rowOff>1919</xdr:rowOff>
    </xdr:from>
    <xdr:to>
      <xdr:col>42</xdr:col>
      <xdr:colOff>524</xdr:colOff>
      <xdr:row>129</xdr:row>
      <xdr:rowOff>0</xdr:rowOff>
    </xdr:to>
    <xdr:sp macro="" textlink="">
      <xdr:nvSpPr>
        <xdr:cNvPr id="267" name="직사각형 266">
          <a:extLst>
            <a:ext uri="{FF2B5EF4-FFF2-40B4-BE49-F238E27FC236}">
              <a16:creationId xmlns:a16="http://schemas.microsoft.com/office/drawing/2014/main" id="{047A35FC-0CDA-4EE9-BBCB-81A50551075A}"/>
            </a:ext>
          </a:extLst>
        </xdr:cNvPr>
        <xdr:cNvSpPr/>
      </xdr:nvSpPr>
      <xdr:spPr>
        <a:xfrm>
          <a:off x="59679840" y="4756799"/>
          <a:ext cx="5365004" cy="211441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42</xdr:col>
      <xdr:colOff>524</xdr:colOff>
      <xdr:row>120</xdr:row>
      <xdr:rowOff>0</xdr:rowOff>
    </xdr:to>
    <xdr:sp macro="" textlink="">
      <xdr:nvSpPr>
        <xdr:cNvPr id="268" name="직사각형 267">
          <a:extLst>
            <a:ext uri="{FF2B5EF4-FFF2-40B4-BE49-F238E27FC236}">
              <a16:creationId xmlns:a16="http://schemas.microsoft.com/office/drawing/2014/main" id="{F04A1DB5-67B0-4245-87C0-97E14AC0592E}"/>
            </a:ext>
          </a:extLst>
        </xdr:cNvPr>
        <xdr:cNvSpPr/>
      </xdr:nvSpPr>
      <xdr:spPr>
        <a:xfrm>
          <a:off x="59679840" y="2804160"/>
          <a:ext cx="5365004" cy="24384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118</xdr:row>
      <xdr:rowOff>1919</xdr:rowOff>
    </xdr:from>
    <xdr:to>
      <xdr:col>42</xdr:col>
      <xdr:colOff>524</xdr:colOff>
      <xdr:row>119</xdr:row>
      <xdr:rowOff>0</xdr:rowOff>
    </xdr:to>
    <xdr:sp macro="" textlink="">
      <xdr:nvSpPr>
        <xdr:cNvPr id="269" name="직사각형 268">
          <a:extLst>
            <a:ext uri="{FF2B5EF4-FFF2-40B4-BE49-F238E27FC236}">
              <a16:creationId xmlns:a16="http://schemas.microsoft.com/office/drawing/2014/main" id="{5A88F632-0F12-45C5-AC30-871ACE9F7B47}"/>
            </a:ext>
          </a:extLst>
        </xdr:cNvPr>
        <xdr:cNvSpPr/>
      </xdr:nvSpPr>
      <xdr:spPr>
        <a:xfrm>
          <a:off x="59679840" y="2562239"/>
          <a:ext cx="5365004" cy="241921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114</xdr:row>
      <xdr:rowOff>220579</xdr:rowOff>
    </xdr:from>
    <xdr:to>
      <xdr:col>42</xdr:col>
      <xdr:colOff>524</xdr:colOff>
      <xdr:row>117</xdr:row>
      <xdr:rowOff>218660</xdr:rowOff>
    </xdr:to>
    <xdr:sp macro="" textlink="">
      <xdr:nvSpPr>
        <xdr:cNvPr id="270" name="직사각형 269">
          <a:extLst>
            <a:ext uri="{FF2B5EF4-FFF2-40B4-BE49-F238E27FC236}">
              <a16:creationId xmlns:a16="http://schemas.microsoft.com/office/drawing/2014/main" id="{5B718095-619F-4C25-AD3D-BEBBC49306BC}"/>
            </a:ext>
          </a:extLst>
        </xdr:cNvPr>
        <xdr:cNvSpPr/>
      </xdr:nvSpPr>
      <xdr:spPr>
        <a:xfrm>
          <a:off x="59679840" y="1836019"/>
          <a:ext cx="5365004" cy="699121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669235</xdr:colOff>
      <xdr:row>115</xdr:row>
      <xdr:rowOff>220579</xdr:rowOff>
    </xdr:from>
    <xdr:to>
      <xdr:col>41</xdr:col>
      <xdr:colOff>1</xdr:colOff>
      <xdr:row>116</xdr:row>
      <xdr:rowOff>218660</xdr:rowOff>
    </xdr:to>
    <xdr:sp macro="" textlink="">
      <xdr:nvSpPr>
        <xdr:cNvPr id="271" name="직사각형 270">
          <a:extLst>
            <a:ext uri="{FF2B5EF4-FFF2-40B4-BE49-F238E27FC236}">
              <a16:creationId xmlns:a16="http://schemas.microsoft.com/office/drawing/2014/main" id="{C1B8551D-D588-4E55-A98C-F737B12C405C}"/>
            </a:ext>
          </a:extLst>
        </xdr:cNvPr>
        <xdr:cNvSpPr/>
      </xdr:nvSpPr>
      <xdr:spPr>
        <a:xfrm>
          <a:off x="60349075" y="2049379"/>
          <a:ext cx="4024686" cy="24192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42</xdr:col>
      <xdr:colOff>524</xdr:colOff>
      <xdr:row>132</xdr:row>
      <xdr:rowOff>218660</xdr:rowOff>
    </xdr:to>
    <xdr:sp macro="" textlink="">
      <xdr:nvSpPr>
        <xdr:cNvPr id="272" name="직사각형 271">
          <a:extLst>
            <a:ext uri="{FF2B5EF4-FFF2-40B4-BE49-F238E27FC236}">
              <a16:creationId xmlns:a16="http://schemas.microsoft.com/office/drawing/2014/main" id="{0700CF32-EE7B-4C85-8013-5C0F7EA44EC2}"/>
            </a:ext>
          </a:extLst>
        </xdr:cNvPr>
        <xdr:cNvSpPr/>
      </xdr:nvSpPr>
      <xdr:spPr>
        <a:xfrm>
          <a:off x="59679840" y="5181600"/>
          <a:ext cx="5365004" cy="70634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669235</xdr:colOff>
      <xdr:row>131</xdr:row>
      <xdr:rowOff>0</xdr:rowOff>
    </xdr:from>
    <xdr:to>
      <xdr:col>41</xdr:col>
      <xdr:colOff>1</xdr:colOff>
      <xdr:row>131</xdr:row>
      <xdr:rowOff>218660</xdr:rowOff>
    </xdr:to>
    <xdr:sp macro="" textlink="">
      <xdr:nvSpPr>
        <xdr:cNvPr id="273" name="직사각형 272">
          <a:extLst>
            <a:ext uri="{FF2B5EF4-FFF2-40B4-BE49-F238E27FC236}">
              <a16:creationId xmlns:a16="http://schemas.microsoft.com/office/drawing/2014/main" id="{6142A376-35B5-427F-929C-3D3121B1DBBB}"/>
            </a:ext>
          </a:extLst>
        </xdr:cNvPr>
        <xdr:cNvSpPr/>
      </xdr:nvSpPr>
      <xdr:spPr>
        <a:xfrm>
          <a:off x="60349075" y="5425440"/>
          <a:ext cx="4024686" cy="218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668215</xdr:colOff>
      <xdr:row>121</xdr:row>
      <xdr:rowOff>0</xdr:rowOff>
    </xdr:from>
    <xdr:to>
      <xdr:col>32</xdr:col>
      <xdr:colOff>0</xdr:colOff>
      <xdr:row>126</xdr:row>
      <xdr:rowOff>218797</xdr:rowOff>
    </xdr:to>
    <xdr:sp macro="" textlink="">
      <xdr:nvSpPr>
        <xdr:cNvPr id="274" name="사각형: 둥근 모서리 273">
          <a:extLst>
            <a:ext uri="{FF2B5EF4-FFF2-40B4-BE49-F238E27FC236}">
              <a16:creationId xmlns:a16="http://schemas.microsoft.com/office/drawing/2014/main" id="{50C68E07-29FA-434E-8F15-3E804E5CEC62}"/>
            </a:ext>
          </a:extLst>
        </xdr:cNvPr>
        <xdr:cNvSpPr/>
      </xdr:nvSpPr>
      <xdr:spPr>
        <a:xfrm>
          <a:off x="75508338" y="3171092"/>
          <a:ext cx="2672862" cy="1332490"/>
        </a:xfrm>
        <a:prstGeom prst="roundRect">
          <a:avLst/>
        </a:prstGeom>
        <a:ln w="57150">
          <a:solidFill>
            <a:schemeClr val="tx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28</xdr:col>
      <xdr:colOff>670036</xdr:colOff>
      <xdr:row>153</xdr:row>
      <xdr:rowOff>0</xdr:rowOff>
    </xdr:from>
    <xdr:to>
      <xdr:col>37</xdr:col>
      <xdr:colOff>0</xdr:colOff>
      <xdr:row>153</xdr:row>
      <xdr:rowOff>220979</xdr:rowOff>
    </xdr:to>
    <xdr:sp macro="" textlink="">
      <xdr:nvSpPr>
        <xdr:cNvPr id="275" name="직사각형 274">
          <a:extLst>
            <a:ext uri="{FF2B5EF4-FFF2-40B4-BE49-F238E27FC236}">
              <a16:creationId xmlns:a16="http://schemas.microsoft.com/office/drawing/2014/main" id="{05107584-DABD-4FDA-A661-04A18FB35A40}"/>
            </a:ext>
          </a:extLst>
        </xdr:cNvPr>
        <xdr:cNvSpPr/>
      </xdr:nvSpPr>
      <xdr:spPr>
        <a:xfrm>
          <a:off x="56326516" y="10210800"/>
          <a:ext cx="5365004" cy="220979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670036</xdr:colOff>
      <xdr:row>152</xdr:row>
      <xdr:rowOff>1919</xdr:rowOff>
    </xdr:from>
    <xdr:to>
      <xdr:col>34</xdr:col>
      <xdr:colOff>0</xdr:colOff>
      <xdr:row>153</xdr:row>
      <xdr:rowOff>0</xdr:rowOff>
    </xdr:to>
    <xdr:sp macro="" textlink="">
      <xdr:nvSpPr>
        <xdr:cNvPr id="276" name="직사각형 275">
          <a:extLst>
            <a:ext uri="{FF2B5EF4-FFF2-40B4-BE49-F238E27FC236}">
              <a16:creationId xmlns:a16="http://schemas.microsoft.com/office/drawing/2014/main" id="{ACFEBFC5-4939-4D49-8BFE-E150C7029079}"/>
            </a:ext>
          </a:extLst>
        </xdr:cNvPr>
        <xdr:cNvSpPr/>
      </xdr:nvSpPr>
      <xdr:spPr>
        <a:xfrm>
          <a:off x="54314836" y="9999359"/>
          <a:ext cx="5365004" cy="211441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670036</xdr:colOff>
      <xdr:row>143</xdr:row>
      <xdr:rowOff>0</xdr:rowOff>
    </xdr:from>
    <xdr:to>
      <xdr:col>34</xdr:col>
      <xdr:colOff>0</xdr:colOff>
      <xdr:row>144</xdr:row>
      <xdr:rowOff>0</xdr:rowOff>
    </xdr:to>
    <xdr:sp macro="" textlink="">
      <xdr:nvSpPr>
        <xdr:cNvPr id="277" name="직사각형 276">
          <a:extLst>
            <a:ext uri="{FF2B5EF4-FFF2-40B4-BE49-F238E27FC236}">
              <a16:creationId xmlns:a16="http://schemas.microsoft.com/office/drawing/2014/main" id="{9102F6DD-32DF-4730-82C7-2F033F727015}"/>
            </a:ext>
          </a:extLst>
        </xdr:cNvPr>
        <xdr:cNvSpPr/>
      </xdr:nvSpPr>
      <xdr:spPr>
        <a:xfrm>
          <a:off x="54314836" y="8077200"/>
          <a:ext cx="5365004" cy="21336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29</xdr:col>
      <xdr:colOff>0</xdr:colOff>
      <xdr:row>142</xdr:row>
      <xdr:rowOff>1919</xdr:rowOff>
    </xdr:from>
    <xdr:to>
      <xdr:col>37</xdr:col>
      <xdr:colOff>524</xdr:colOff>
      <xdr:row>143</xdr:row>
      <xdr:rowOff>0</xdr:rowOff>
    </xdr:to>
    <xdr:sp macro="" textlink="">
      <xdr:nvSpPr>
        <xdr:cNvPr id="278" name="직사각형 277">
          <a:extLst>
            <a:ext uri="{FF2B5EF4-FFF2-40B4-BE49-F238E27FC236}">
              <a16:creationId xmlns:a16="http://schemas.microsoft.com/office/drawing/2014/main" id="{67E1DED6-AFE7-4E4A-97BE-556A784F1A05}"/>
            </a:ext>
          </a:extLst>
        </xdr:cNvPr>
        <xdr:cNvSpPr/>
      </xdr:nvSpPr>
      <xdr:spPr>
        <a:xfrm>
          <a:off x="56327040" y="7865759"/>
          <a:ext cx="5365004" cy="211441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138</xdr:row>
      <xdr:rowOff>220579</xdr:rowOff>
    </xdr:from>
    <xdr:to>
      <xdr:col>42</xdr:col>
      <xdr:colOff>524</xdr:colOff>
      <xdr:row>141</xdr:row>
      <xdr:rowOff>218660</xdr:rowOff>
    </xdr:to>
    <xdr:sp macro="" textlink="">
      <xdr:nvSpPr>
        <xdr:cNvPr id="279" name="직사각형 278">
          <a:extLst>
            <a:ext uri="{FF2B5EF4-FFF2-40B4-BE49-F238E27FC236}">
              <a16:creationId xmlns:a16="http://schemas.microsoft.com/office/drawing/2014/main" id="{D22CCB65-B43F-4E78-ABDE-4094B83010D0}"/>
            </a:ext>
          </a:extLst>
        </xdr:cNvPr>
        <xdr:cNvSpPr/>
      </xdr:nvSpPr>
      <xdr:spPr>
        <a:xfrm>
          <a:off x="59679840" y="7230979"/>
          <a:ext cx="5365004" cy="638161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669235</xdr:colOff>
      <xdr:row>139</xdr:row>
      <xdr:rowOff>220579</xdr:rowOff>
    </xdr:from>
    <xdr:to>
      <xdr:col>41</xdr:col>
      <xdr:colOff>1</xdr:colOff>
      <xdr:row>140</xdr:row>
      <xdr:rowOff>218660</xdr:rowOff>
    </xdr:to>
    <xdr:sp macro="" textlink="">
      <xdr:nvSpPr>
        <xdr:cNvPr id="280" name="직사각형 279">
          <a:extLst>
            <a:ext uri="{FF2B5EF4-FFF2-40B4-BE49-F238E27FC236}">
              <a16:creationId xmlns:a16="http://schemas.microsoft.com/office/drawing/2014/main" id="{CA71AFBC-9280-4FAB-8374-459E8CEDE2AA}"/>
            </a:ext>
          </a:extLst>
        </xdr:cNvPr>
        <xdr:cNvSpPr/>
      </xdr:nvSpPr>
      <xdr:spPr>
        <a:xfrm>
          <a:off x="60349075" y="7444339"/>
          <a:ext cx="4024686" cy="21144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42</xdr:col>
      <xdr:colOff>524</xdr:colOff>
      <xdr:row>156</xdr:row>
      <xdr:rowOff>218660</xdr:rowOff>
    </xdr:to>
    <xdr:sp macro="" textlink="">
      <xdr:nvSpPr>
        <xdr:cNvPr id="281" name="직사각형 280">
          <a:extLst>
            <a:ext uri="{FF2B5EF4-FFF2-40B4-BE49-F238E27FC236}">
              <a16:creationId xmlns:a16="http://schemas.microsoft.com/office/drawing/2014/main" id="{BEA55B33-1F1D-41BB-9B24-E59E4BF53F70}"/>
            </a:ext>
          </a:extLst>
        </xdr:cNvPr>
        <xdr:cNvSpPr/>
      </xdr:nvSpPr>
      <xdr:spPr>
        <a:xfrm>
          <a:off x="59679840" y="10424160"/>
          <a:ext cx="5365004" cy="64538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669235</xdr:colOff>
      <xdr:row>155</xdr:row>
      <xdr:rowOff>0</xdr:rowOff>
    </xdr:from>
    <xdr:to>
      <xdr:col>41</xdr:col>
      <xdr:colOff>1</xdr:colOff>
      <xdr:row>155</xdr:row>
      <xdr:rowOff>218660</xdr:rowOff>
    </xdr:to>
    <xdr:sp macro="" textlink="">
      <xdr:nvSpPr>
        <xdr:cNvPr id="282" name="직사각형 281">
          <a:extLst>
            <a:ext uri="{FF2B5EF4-FFF2-40B4-BE49-F238E27FC236}">
              <a16:creationId xmlns:a16="http://schemas.microsoft.com/office/drawing/2014/main" id="{57611191-B641-4B2A-9E95-0285E0FA55CF}"/>
            </a:ext>
          </a:extLst>
        </xdr:cNvPr>
        <xdr:cNvSpPr/>
      </xdr:nvSpPr>
      <xdr:spPr>
        <a:xfrm>
          <a:off x="60349075" y="10637520"/>
          <a:ext cx="4024686" cy="218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668215</xdr:colOff>
      <xdr:row>145</xdr:row>
      <xdr:rowOff>0</xdr:rowOff>
    </xdr:from>
    <xdr:to>
      <xdr:col>32</xdr:col>
      <xdr:colOff>5060</xdr:colOff>
      <xdr:row>150</xdr:row>
      <xdr:rowOff>217732</xdr:rowOff>
    </xdr:to>
    <xdr:sp macro="" textlink="">
      <xdr:nvSpPr>
        <xdr:cNvPr id="283" name="사각형: 둥근 모서리 282">
          <a:extLst>
            <a:ext uri="{FF2B5EF4-FFF2-40B4-BE49-F238E27FC236}">
              <a16:creationId xmlns:a16="http://schemas.microsoft.com/office/drawing/2014/main" id="{48DFA1C8-7E85-4BBA-B259-EC8AA016915F}"/>
            </a:ext>
          </a:extLst>
        </xdr:cNvPr>
        <xdr:cNvSpPr/>
      </xdr:nvSpPr>
      <xdr:spPr>
        <a:xfrm>
          <a:off x="75508338" y="8540262"/>
          <a:ext cx="2677922" cy="1331424"/>
        </a:xfrm>
        <a:prstGeom prst="roundRect">
          <a:avLst/>
        </a:prstGeom>
        <a:ln w="57150">
          <a:solidFill>
            <a:schemeClr val="tx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35</xdr:col>
      <xdr:colOff>10885</xdr:colOff>
      <xdr:row>147</xdr:row>
      <xdr:rowOff>0</xdr:rowOff>
    </xdr:from>
    <xdr:to>
      <xdr:col>40</xdr:col>
      <xdr:colOff>10886</xdr:colOff>
      <xdr:row>149</xdr:row>
      <xdr:rowOff>0</xdr:rowOff>
    </xdr:to>
    <xdr:sp macro="" textlink="">
      <xdr:nvSpPr>
        <xdr:cNvPr id="284" name="화살표: 오른쪽 283">
          <a:extLst>
            <a:ext uri="{FF2B5EF4-FFF2-40B4-BE49-F238E27FC236}">
              <a16:creationId xmlns:a16="http://schemas.microsoft.com/office/drawing/2014/main" id="{A6DFE280-4074-46F8-BD45-2536AFB5EC48}"/>
            </a:ext>
          </a:extLst>
        </xdr:cNvPr>
        <xdr:cNvSpPr/>
      </xdr:nvSpPr>
      <xdr:spPr>
        <a:xfrm flipH="1">
          <a:off x="60361285" y="8930640"/>
          <a:ext cx="3352801" cy="426720"/>
        </a:xfrm>
        <a:prstGeom prst="rightArrow">
          <a:avLst/>
        </a:prstGeom>
        <a:solidFill>
          <a:schemeClr val="bg1">
            <a:lumMod val="95000"/>
          </a:schemeClr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28</xdr:col>
      <xdr:colOff>670036</xdr:colOff>
      <xdr:row>177</xdr:row>
      <xdr:rowOff>0</xdr:rowOff>
    </xdr:from>
    <xdr:to>
      <xdr:col>37</xdr:col>
      <xdr:colOff>0</xdr:colOff>
      <xdr:row>177</xdr:row>
      <xdr:rowOff>220979</xdr:rowOff>
    </xdr:to>
    <xdr:sp macro="" textlink="">
      <xdr:nvSpPr>
        <xdr:cNvPr id="285" name="직사각형 284">
          <a:extLst>
            <a:ext uri="{FF2B5EF4-FFF2-40B4-BE49-F238E27FC236}">
              <a16:creationId xmlns:a16="http://schemas.microsoft.com/office/drawing/2014/main" id="{9BB68720-F329-4EF8-A8B3-D5B0050CB0E3}"/>
            </a:ext>
          </a:extLst>
        </xdr:cNvPr>
        <xdr:cNvSpPr/>
      </xdr:nvSpPr>
      <xdr:spPr>
        <a:xfrm>
          <a:off x="56326516" y="15392400"/>
          <a:ext cx="5365004" cy="220979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658885</xdr:colOff>
      <xdr:row>175</xdr:row>
      <xdr:rowOff>213792</xdr:rowOff>
    </xdr:from>
    <xdr:to>
      <xdr:col>33</xdr:col>
      <xdr:colOff>657922</xdr:colOff>
      <xdr:row>176</xdr:row>
      <xdr:rowOff>211873</xdr:rowOff>
    </xdr:to>
    <xdr:sp macro="" textlink="">
      <xdr:nvSpPr>
        <xdr:cNvPr id="286" name="직사각형 285">
          <a:extLst>
            <a:ext uri="{FF2B5EF4-FFF2-40B4-BE49-F238E27FC236}">
              <a16:creationId xmlns:a16="http://schemas.microsoft.com/office/drawing/2014/main" id="{6D93FFC1-8767-47B5-AAA8-B17CC7E7BB99}"/>
            </a:ext>
          </a:extLst>
        </xdr:cNvPr>
        <xdr:cNvSpPr/>
      </xdr:nvSpPr>
      <xdr:spPr>
        <a:xfrm>
          <a:off x="74256934" y="15293958"/>
          <a:ext cx="5351622" cy="217388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670036</xdr:colOff>
      <xdr:row>167</xdr:row>
      <xdr:rowOff>0</xdr:rowOff>
    </xdr:from>
    <xdr:to>
      <xdr:col>34</xdr:col>
      <xdr:colOff>0</xdr:colOff>
      <xdr:row>168</xdr:row>
      <xdr:rowOff>0</xdr:rowOff>
    </xdr:to>
    <xdr:sp macro="" textlink="">
      <xdr:nvSpPr>
        <xdr:cNvPr id="287" name="직사각형 286">
          <a:extLst>
            <a:ext uri="{FF2B5EF4-FFF2-40B4-BE49-F238E27FC236}">
              <a16:creationId xmlns:a16="http://schemas.microsoft.com/office/drawing/2014/main" id="{C3312378-428F-4F39-A7CA-829232363D60}"/>
            </a:ext>
          </a:extLst>
        </xdr:cNvPr>
        <xdr:cNvSpPr/>
      </xdr:nvSpPr>
      <xdr:spPr>
        <a:xfrm>
          <a:off x="54314836" y="13258800"/>
          <a:ext cx="5365004" cy="21336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29</xdr:col>
      <xdr:colOff>0</xdr:colOff>
      <xdr:row>166</xdr:row>
      <xdr:rowOff>1919</xdr:rowOff>
    </xdr:from>
    <xdr:to>
      <xdr:col>37</xdr:col>
      <xdr:colOff>524</xdr:colOff>
      <xdr:row>167</xdr:row>
      <xdr:rowOff>0</xdr:rowOff>
    </xdr:to>
    <xdr:sp macro="" textlink="">
      <xdr:nvSpPr>
        <xdr:cNvPr id="288" name="직사각형 287">
          <a:extLst>
            <a:ext uri="{FF2B5EF4-FFF2-40B4-BE49-F238E27FC236}">
              <a16:creationId xmlns:a16="http://schemas.microsoft.com/office/drawing/2014/main" id="{1F5C842C-F826-4A52-B6F6-9D691E349FC8}"/>
            </a:ext>
          </a:extLst>
        </xdr:cNvPr>
        <xdr:cNvSpPr/>
      </xdr:nvSpPr>
      <xdr:spPr>
        <a:xfrm>
          <a:off x="56327040" y="13047359"/>
          <a:ext cx="5365004" cy="211441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162</xdr:row>
      <xdr:rowOff>220579</xdr:rowOff>
    </xdr:from>
    <xdr:to>
      <xdr:col>42</xdr:col>
      <xdr:colOff>524</xdr:colOff>
      <xdr:row>165</xdr:row>
      <xdr:rowOff>218660</xdr:rowOff>
    </xdr:to>
    <xdr:sp macro="" textlink="">
      <xdr:nvSpPr>
        <xdr:cNvPr id="289" name="직사각형 288">
          <a:extLst>
            <a:ext uri="{FF2B5EF4-FFF2-40B4-BE49-F238E27FC236}">
              <a16:creationId xmlns:a16="http://schemas.microsoft.com/office/drawing/2014/main" id="{616FEDF6-A5D6-4EB1-BA41-0EA8FBDB2183}"/>
            </a:ext>
          </a:extLst>
        </xdr:cNvPr>
        <xdr:cNvSpPr/>
      </xdr:nvSpPr>
      <xdr:spPr>
        <a:xfrm>
          <a:off x="59679840" y="12412579"/>
          <a:ext cx="5365004" cy="638161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669235</xdr:colOff>
      <xdr:row>163</xdr:row>
      <xdr:rowOff>220579</xdr:rowOff>
    </xdr:from>
    <xdr:to>
      <xdr:col>41</xdr:col>
      <xdr:colOff>1</xdr:colOff>
      <xdr:row>164</xdr:row>
      <xdr:rowOff>218660</xdr:rowOff>
    </xdr:to>
    <xdr:sp macro="" textlink="">
      <xdr:nvSpPr>
        <xdr:cNvPr id="290" name="직사각형 289">
          <a:extLst>
            <a:ext uri="{FF2B5EF4-FFF2-40B4-BE49-F238E27FC236}">
              <a16:creationId xmlns:a16="http://schemas.microsoft.com/office/drawing/2014/main" id="{86373740-399C-4A21-BBB7-8A76429B4D1B}"/>
            </a:ext>
          </a:extLst>
        </xdr:cNvPr>
        <xdr:cNvSpPr/>
      </xdr:nvSpPr>
      <xdr:spPr>
        <a:xfrm>
          <a:off x="60349075" y="12625939"/>
          <a:ext cx="4024686" cy="21144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42</xdr:col>
      <xdr:colOff>524</xdr:colOff>
      <xdr:row>180</xdr:row>
      <xdr:rowOff>218660</xdr:rowOff>
    </xdr:to>
    <xdr:sp macro="" textlink="">
      <xdr:nvSpPr>
        <xdr:cNvPr id="291" name="직사각형 290">
          <a:extLst>
            <a:ext uri="{FF2B5EF4-FFF2-40B4-BE49-F238E27FC236}">
              <a16:creationId xmlns:a16="http://schemas.microsoft.com/office/drawing/2014/main" id="{CB5F1966-6534-4727-B05B-14F70C251875}"/>
            </a:ext>
          </a:extLst>
        </xdr:cNvPr>
        <xdr:cNvSpPr/>
      </xdr:nvSpPr>
      <xdr:spPr>
        <a:xfrm>
          <a:off x="59679840" y="15605760"/>
          <a:ext cx="5365004" cy="64538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669235</xdr:colOff>
      <xdr:row>179</xdr:row>
      <xdr:rowOff>0</xdr:rowOff>
    </xdr:from>
    <xdr:to>
      <xdr:col>41</xdr:col>
      <xdr:colOff>1</xdr:colOff>
      <xdr:row>179</xdr:row>
      <xdr:rowOff>218660</xdr:rowOff>
    </xdr:to>
    <xdr:sp macro="" textlink="">
      <xdr:nvSpPr>
        <xdr:cNvPr id="292" name="직사각형 291">
          <a:extLst>
            <a:ext uri="{FF2B5EF4-FFF2-40B4-BE49-F238E27FC236}">
              <a16:creationId xmlns:a16="http://schemas.microsoft.com/office/drawing/2014/main" id="{B9C89C90-0612-4E91-BFD4-FC3E8DA1528B}"/>
            </a:ext>
          </a:extLst>
        </xdr:cNvPr>
        <xdr:cNvSpPr/>
      </xdr:nvSpPr>
      <xdr:spPr>
        <a:xfrm>
          <a:off x="60349075" y="15819120"/>
          <a:ext cx="4024686" cy="218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664879</xdr:colOff>
      <xdr:row>169</xdr:row>
      <xdr:rowOff>0</xdr:rowOff>
    </xdr:from>
    <xdr:to>
      <xdr:col>32</xdr:col>
      <xdr:colOff>0</xdr:colOff>
      <xdr:row>174</xdr:row>
      <xdr:rowOff>213655</xdr:rowOff>
    </xdr:to>
    <xdr:sp macro="" textlink="">
      <xdr:nvSpPr>
        <xdr:cNvPr id="293" name="사각형: 둥근 모서리 292">
          <a:extLst>
            <a:ext uri="{FF2B5EF4-FFF2-40B4-BE49-F238E27FC236}">
              <a16:creationId xmlns:a16="http://schemas.microsoft.com/office/drawing/2014/main" id="{F74E9F72-53B1-4269-B1C2-752EF1F18CA3}"/>
            </a:ext>
          </a:extLst>
        </xdr:cNvPr>
        <xdr:cNvSpPr/>
      </xdr:nvSpPr>
      <xdr:spPr>
        <a:xfrm>
          <a:off x="75619175" y="13755757"/>
          <a:ext cx="2681295" cy="1306959"/>
        </a:xfrm>
        <a:prstGeom prst="roundRect">
          <a:avLst/>
        </a:prstGeom>
        <a:ln w="57150">
          <a:solidFill>
            <a:schemeClr val="tx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201</xdr:row>
      <xdr:rowOff>1</xdr:rowOff>
    </xdr:from>
    <xdr:to>
      <xdr:col>42</xdr:col>
      <xdr:colOff>524</xdr:colOff>
      <xdr:row>202</xdr:row>
      <xdr:rowOff>0</xdr:rowOff>
    </xdr:to>
    <xdr:sp macro="" textlink="">
      <xdr:nvSpPr>
        <xdr:cNvPr id="294" name="직사각형 293">
          <a:extLst>
            <a:ext uri="{FF2B5EF4-FFF2-40B4-BE49-F238E27FC236}">
              <a16:creationId xmlns:a16="http://schemas.microsoft.com/office/drawing/2014/main" id="{088B746C-CA82-4D8E-BE08-3DF2B1721012}"/>
            </a:ext>
          </a:extLst>
        </xdr:cNvPr>
        <xdr:cNvSpPr/>
      </xdr:nvSpPr>
      <xdr:spPr>
        <a:xfrm>
          <a:off x="59679840" y="20574001"/>
          <a:ext cx="5365004" cy="213359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200</xdr:row>
      <xdr:rowOff>1919</xdr:rowOff>
    </xdr:from>
    <xdr:to>
      <xdr:col>42</xdr:col>
      <xdr:colOff>524</xdr:colOff>
      <xdr:row>201</xdr:row>
      <xdr:rowOff>0</xdr:rowOff>
    </xdr:to>
    <xdr:sp macro="" textlink="">
      <xdr:nvSpPr>
        <xdr:cNvPr id="295" name="직사각형 294">
          <a:extLst>
            <a:ext uri="{FF2B5EF4-FFF2-40B4-BE49-F238E27FC236}">
              <a16:creationId xmlns:a16="http://schemas.microsoft.com/office/drawing/2014/main" id="{1CDB7912-1BC6-4162-8FF6-4043CB577BA1}"/>
            </a:ext>
          </a:extLst>
        </xdr:cNvPr>
        <xdr:cNvSpPr/>
      </xdr:nvSpPr>
      <xdr:spPr>
        <a:xfrm>
          <a:off x="59679840" y="20362559"/>
          <a:ext cx="5365004" cy="211441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191</xdr:row>
      <xdr:rowOff>0</xdr:rowOff>
    </xdr:from>
    <xdr:to>
      <xdr:col>42</xdr:col>
      <xdr:colOff>524</xdr:colOff>
      <xdr:row>192</xdr:row>
      <xdr:rowOff>0</xdr:rowOff>
    </xdr:to>
    <xdr:sp macro="" textlink="">
      <xdr:nvSpPr>
        <xdr:cNvPr id="296" name="직사각형 295">
          <a:extLst>
            <a:ext uri="{FF2B5EF4-FFF2-40B4-BE49-F238E27FC236}">
              <a16:creationId xmlns:a16="http://schemas.microsoft.com/office/drawing/2014/main" id="{DA9BF38D-1055-4B91-8D5C-58CC0C8BAF28}"/>
            </a:ext>
          </a:extLst>
        </xdr:cNvPr>
        <xdr:cNvSpPr/>
      </xdr:nvSpPr>
      <xdr:spPr>
        <a:xfrm>
          <a:off x="59679840" y="18440400"/>
          <a:ext cx="5365004" cy="21336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190</xdr:row>
      <xdr:rowOff>1919</xdr:rowOff>
    </xdr:from>
    <xdr:to>
      <xdr:col>42</xdr:col>
      <xdr:colOff>524</xdr:colOff>
      <xdr:row>191</xdr:row>
      <xdr:rowOff>0</xdr:rowOff>
    </xdr:to>
    <xdr:sp macro="" textlink="">
      <xdr:nvSpPr>
        <xdr:cNvPr id="297" name="직사각형 296">
          <a:extLst>
            <a:ext uri="{FF2B5EF4-FFF2-40B4-BE49-F238E27FC236}">
              <a16:creationId xmlns:a16="http://schemas.microsoft.com/office/drawing/2014/main" id="{4AA73616-5C4E-4532-8395-D3E3005E2451}"/>
            </a:ext>
          </a:extLst>
        </xdr:cNvPr>
        <xdr:cNvSpPr/>
      </xdr:nvSpPr>
      <xdr:spPr>
        <a:xfrm>
          <a:off x="59679840" y="18228959"/>
          <a:ext cx="5365004" cy="211441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186</xdr:row>
      <xdr:rowOff>220579</xdr:rowOff>
    </xdr:from>
    <xdr:to>
      <xdr:col>42</xdr:col>
      <xdr:colOff>524</xdr:colOff>
      <xdr:row>189</xdr:row>
      <xdr:rowOff>218660</xdr:rowOff>
    </xdr:to>
    <xdr:sp macro="" textlink="">
      <xdr:nvSpPr>
        <xdr:cNvPr id="298" name="직사각형 297">
          <a:extLst>
            <a:ext uri="{FF2B5EF4-FFF2-40B4-BE49-F238E27FC236}">
              <a16:creationId xmlns:a16="http://schemas.microsoft.com/office/drawing/2014/main" id="{69F35819-1915-4855-9EA5-91667D89EAE1}"/>
            </a:ext>
          </a:extLst>
        </xdr:cNvPr>
        <xdr:cNvSpPr/>
      </xdr:nvSpPr>
      <xdr:spPr>
        <a:xfrm>
          <a:off x="59679840" y="17594179"/>
          <a:ext cx="5365004" cy="638161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669235</xdr:colOff>
      <xdr:row>187</xdr:row>
      <xdr:rowOff>220579</xdr:rowOff>
    </xdr:from>
    <xdr:to>
      <xdr:col>41</xdr:col>
      <xdr:colOff>1</xdr:colOff>
      <xdr:row>188</xdr:row>
      <xdr:rowOff>218660</xdr:rowOff>
    </xdr:to>
    <xdr:sp macro="" textlink="">
      <xdr:nvSpPr>
        <xdr:cNvPr id="299" name="직사각형 298">
          <a:extLst>
            <a:ext uri="{FF2B5EF4-FFF2-40B4-BE49-F238E27FC236}">
              <a16:creationId xmlns:a16="http://schemas.microsoft.com/office/drawing/2014/main" id="{B12EF482-1C9B-4728-8591-F30BA743009F}"/>
            </a:ext>
          </a:extLst>
        </xdr:cNvPr>
        <xdr:cNvSpPr/>
      </xdr:nvSpPr>
      <xdr:spPr>
        <a:xfrm>
          <a:off x="60349075" y="17807539"/>
          <a:ext cx="4024686" cy="21144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202</xdr:row>
      <xdr:rowOff>0</xdr:rowOff>
    </xdr:from>
    <xdr:to>
      <xdr:col>42</xdr:col>
      <xdr:colOff>524</xdr:colOff>
      <xdr:row>204</xdr:row>
      <xdr:rowOff>218660</xdr:rowOff>
    </xdr:to>
    <xdr:sp macro="" textlink="">
      <xdr:nvSpPr>
        <xdr:cNvPr id="300" name="직사각형 299">
          <a:extLst>
            <a:ext uri="{FF2B5EF4-FFF2-40B4-BE49-F238E27FC236}">
              <a16:creationId xmlns:a16="http://schemas.microsoft.com/office/drawing/2014/main" id="{C4617A4C-864A-4CA5-9F43-60A45F3F10EA}"/>
            </a:ext>
          </a:extLst>
        </xdr:cNvPr>
        <xdr:cNvSpPr/>
      </xdr:nvSpPr>
      <xdr:spPr>
        <a:xfrm>
          <a:off x="59679840" y="20787360"/>
          <a:ext cx="5365004" cy="64538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669235</xdr:colOff>
      <xdr:row>203</xdr:row>
      <xdr:rowOff>0</xdr:rowOff>
    </xdr:from>
    <xdr:to>
      <xdr:col>41</xdr:col>
      <xdr:colOff>1</xdr:colOff>
      <xdr:row>203</xdr:row>
      <xdr:rowOff>218660</xdr:rowOff>
    </xdr:to>
    <xdr:sp macro="" textlink="">
      <xdr:nvSpPr>
        <xdr:cNvPr id="301" name="직사각형 300">
          <a:extLst>
            <a:ext uri="{FF2B5EF4-FFF2-40B4-BE49-F238E27FC236}">
              <a16:creationId xmlns:a16="http://schemas.microsoft.com/office/drawing/2014/main" id="{B3BCE130-E50B-4DF3-BB46-8073655CA4D3}"/>
            </a:ext>
          </a:extLst>
        </xdr:cNvPr>
        <xdr:cNvSpPr/>
      </xdr:nvSpPr>
      <xdr:spPr>
        <a:xfrm>
          <a:off x="60349075" y="21000720"/>
          <a:ext cx="4024686" cy="218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193</xdr:row>
      <xdr:rowOff>8965</xdr:rowOff>
    </xdr:from>
    <xdr:to>
      <xdr:col>38</xdr:col>
      <xdr:colOff>7621</xdr:colOff>
      <xdr:row>199</xdr:row>
      <xdr:rowOff>0</xdr:rowOff>
    </xdr:to>
    <xdr:sp macro="" textlink="">
      <xdr:nvSpPr>
        <xdr:cNvPr id="302" name="사각형: 둥근 모서리 301">
          <a:extLst>
            <a:ext uri="{FF2B5EF4-FFF2-40B4-BE49-F238E27FC236}">
              <a16:creationId xmlns:a16="http://schemas.microsoft.com/office/drawing/2014/main" id="{2A7CB1DD-9EA5-4DC3-818A-F6FD9B9D21FF}"/>
            </a:ext>
          </a:extLst>
        </xdr:cNvPr>
        <xdr:cNvSpPr/>
      </xdr:nvSpPr>
      <xdr:spPr>
        <a:xfrm>
          <a:off x="80010000" y="19435483"/>
          <a:ext cx="2697033" cy="1335741"/>
        </a:xfrm>
        <a:prstGeom prst="roundRect">
          <a:avLst/>
        </a:prstGeom>
        <a:ln w="57150">
          <a:solidFill>
            <a:schemeClr val="tx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672352</xdr:colOff>
      <xdr:row>195</xdr:row>
      <xdr:rowOff>0</xdr:rowOff>
    </xdr:from>
    <xdr:to>
      <xdr:col>33</xdr:col>
      <xdr:colOff>0</xdr:colOff>
      <xdr:row>197</xdr:row>
      <xdr:rowOff>0</xdr:rowOff>
    </xdr:to>
    <xdr:sp macro="" textlink="">
      <xdr:nvSpPr>
        <xdr:cNvPr id="303" name="화살표: 오른쪽 302">
          <a:extLst>
            <a:ext uri="{FF2B5EF4-FFF2-40B4-BE49-F238E27FC236}">
              <a16:creationId xmlns:a16="http://schemas.microsoft.com/office/drawing/2014/main" id="{8673FBB8-C008-4C37-9873-0980E19B7045}"/>
            </a:ext>
          </a:extLst>
        </xdr:cNvPr>
        <xdr:cNvSpPr/>
      </xdr:nvSpPr>
      <xdr:spPr>
        <a:xfrm>
          <a:off x="75975881" y="19874753"/>
          <a:ext cx="3361766" cy="448235"/>
        </a:xfrm>
        <a:prstGeom prst="rightArrow">
          <a:avLst/>
        </a:prstGeom>
        <a:solidFill>
          <a:schemeClr val="bg1">
            <a:lumMod val="95000"/>
          </a:schemeClr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2358</xdr:colOff>
      <xdr:row>167</xdr:row>
      <xdr:rowOff>3480</xdr:rowOff>
    </xdr:from>
    <xdr:to>
      <xdr:col>25</xdr:col>
      <xdr:colOff>439119</xdr:colOff>
      <xdr:row>169</xdr:row>
      <xdr:rowOff>42403</xdr:rowOff>
    </xdr:to>
    <xdr:sp macro="" textlink="">
      <xdr:nvSpPr>
        <xdr:cNvPr id="321" name="화살표: 굽음 320">
          <a:extLst>
            <a:ext uri="{FF2B5EF4-FFF2-40B4-BE49-F238E27FC236}">
              <a16:creationId xmlns:a16="http://schemas.microsoft.com/office/drawing/2014/main" id="{C3F8E9C8-3F65-4173-9B3E-CD7F92E0AEF5}"/>
            </a:ext>
          </a:extLst>
        </xdr:cNvPr>
        <xdr:cNvSpPr/>
      </xdr:nvSpPr>
      <xdr:spPr>
        <a:xfrm flipV="1">
          <a:off x="73618184" y="13321915"/>
          <a:ext cx="436761" cy="476245"/>
        </a:xfrm>
        <a:prstGeom prst="bentArrow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33</xdr:col>
      <xdr:colOff>-1</xdr:colOff>
      <xdr:row>119</xdr:row>
      <xdr:rowOff>10886</xdr:rowOff>
    </xdr:from>
    <xdr:to>
      <xdr:col>34</xdr:col>
      <xdr:colOff>0</xdr:colOff>
      <xdr:row>120</xdr:row>
      <xdr:rowOff>0</xdr:rowOff>
    </xdr:to>
    <xdr:sp macro="" textlink="">
      <xdr:nvSpPr>
        <xdr:cNvPr id="324" name="직사각형 323">
          <a:extLst>
            <a:ext uri="{FF2B5EF4-FFF2-40B4-BE49-F238E27FC236}">
              <a16:creationId xmlns:a16="http://schemas.microsoft.com/office/drawing/2014/main" id="{C99D2257-7176-146E-5BF7-39AAF542AA46}"/>
            </a:ext>
          </a:extLst>
        </xdr:cNvPr>
        <xdr:cNvSpPr/>
      </xdr:nvSpPr>
      <xdr:spPr>
        <a:xfrm>
          <a:off x="79639885" y="2710543"/>
          <a:ext cx="674915" cy="217714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32</xdr:col>
      <xdr:colOff>669757</xdr:colOff>
      <xdr:row>127</xdr:row>
      <xdr:rowOff>220579</xdr:rowOff>
    </xdr:from>
    <xdr:to>
      <xdr:col>33</xdr:col>
      <xdr:colOff>669757</xdr:colOff>
      <xdr:row>128</xdr:row>
      <xdr:rowOff>220578</xdr:rowOff>
    </xdr:to>
    <xdr:sp macro="" textlink="">
      <xdr:nvSpPr>
        <xdr:cNvPr id="325" name="직사각형 324">
          <a:extLst>
            <a:ext uri="{FF2B5EF4-FFF2-40B4-BE49-F238E27FC236}">
              <a16:creationId xmlns:a16="http://schemas.microsoft.com/office/drawing/2014/main" id="{7836E4D6-40BD-312F-1AE1-00DB55A95408}"/>
            </a:ext>
          </a:extLst>
        </xdr:cNvPr>
        <xdr:cNvSpPr/>
      </xdr:nvSpPr>
      <xdr:spPr>
        <a:xfrm>
          <a:off x="79031431" y="4704347"/>
          <a:ext cx="669758" cy="220578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42</xdr:col>
      <xdr:colOff>0</xdr:colOff>
      <xdr:row>119</xdr:row>
      <xdr:rowOff>10886</xdr:rowOff>
    </xdr:from>
    <xdr:to>
      <xdr:col>43</xdr:col>
      <xdr:colOff>-1</xdr:colOff>
      <xdr:row>120</xdr:row>
      <xdr:rowOff>0</xdr:rowOff>
    </xdr:to>
    <xdr:sp macro="" textlink="">
      <xdr:nvSpPr>
        <xdr:cNvPr id="326" name="직사각형 325">
          <a:extLst>
            <a:ext uri="{FF2B5EF4-FFF2-40B4-BE49-F238E27FC236}">
              <a16:creationId xmlns:a16="http://schemas.microsoft.com/office/drawing/2014/main" id="{6C35986E-B429-1F2A-EF39-19F0F77A7F3C}"/>
            </a:ext>
          </a:extLst>
        </xdr:cNvPr>
        <xdr:cNvSpPr/>
      </xdr:nvSpPr>
      <xdr:spPr>
        <a:xfrm>
          <a:off x="85714114" y="2710543"/>
          <a:ext cx="674914" cy="217714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42</xdr:col>
      <xdr:colOff>0</xdr:colOff>
      <xdr:row>128</xdr:row>
      <xdr:rowOff>1</xdr:rowOff>
    </xdr:from>
    <xdr:to>
      <xdr:col>42</xdr:col>
      <xdr:colOff>669757</xdr:colOff>
      <xdr:row>128</xdr:row>
      <xdr:rowOff>220579</xdr:rowOff>
    </xdr:to>
    <xdr:sp macro="" textlink="">
      <xdr:nvSpPr>
        <xdr:cNvPr id="327" name="직사각형 326">
          <a:extLst>
            <a:ext uri="{FF2B5EF4-FFF2-40B4-BE49-F238E27FC236}">
              <a16:creationId xmlns:a16="http://schemas.microsoft.com/office/drawing/2014/main" id="{B16D76AA-0978-83A2-4DCE-9ADDEBF5AB7B}"/>
            </a:ext>
          </a:extLst>
        </xdr:cNvPr>
        <xdr:cNvSpPr/>
      </xdr:nvSpPr>
      <xdr:spPr>
        <a:xfrm>
          <a:off x="85059253" y="4704348"/>
          <a:ext cx="669757" cy="220578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0</xdr:colOff>
      <xdr:row>143</xdr:row>
      <xdr:rowOff>1921</xdr:rowOff>
    </xdr:from>
    <xdr:to>
      <xdr:col>26</xdr:col>
      <xdr:colOff>2</xdr:colOff>
      <xdr:row>144</xdr:row>
      <xdr:rowOff>0</xdr:rowOff>
    </xdr:to>
    <xdr:sp macro="" textlink="">
      <xdr:nvSpPr>
        <xdr:cNvPr id="329" name="직사각형 328">
          <a:extLst>
            <a:ext uri="{FF2B5EF4-FFF2-40B4-BE49-F238E27FC236}">
              <a16:creationId xmlns:a16="http://schemas.microsoft.com/office/drawing/2014/main" id="{E98A6C6E-9764-D232-D106-846656461A13}"/>
            </a:ext>
          </a:extLst>
        </xdr:cNvPr>
        <xdr:cNvSpPr/>
      </xdr:nvSpPr>
      <xdr:spPr>
        <a:xfrm>
          <a:off x="73958824" y="8186697"/>
          <a:ext cx="672354" cy="222197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669757</xdr:colOff>
      <xdr:row>151</xdr:row>
      <xdr:rowOff>220579</xdr:rowOff>
    </xdr:from>
    <xdr:to>
      <xdr:col>26</xdr:col>
      <xdr:colOff>2</xdr:colOff>
      <xdr:row>152</xdr:row>
      <xdr:rowOff>220578</xdr:rowOff>
    </xdr:to>
    <xdr:sp macro="" textlink="">
      <xdr:nvSpPr>
        <xdr:cNvPr id="330" name="직사각형 329">
          <a:extLst>
            <a:ext uri="{FF2B5EF4-FFF2-40B4-BE49-F238E27FC236}">
              <a16:creationId xmlns:a16="http://schemas.microsoft.com/office/drawing/2014/main" id="{4146AF83-15C7-C76D-7C99-5AC4FEB95FD9}"/>
            </a:ext>
          </a:extLst>
        </xdr:cNvPr>
        <xdr:cNvSpPr/>
      </xdr:nvSpPr>
      <xdr:spPr>
        <a:xfrm>
          <a:off x="73673368" y="10030326"/>
          <a:ext cx="669760" cy="220578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2</xdr:colOff>
      <xdr:row>143</xdr:row>
      <xdr:rowOff>1921</xdr:rowOff>
    </xdr:from>
    <xdr:to>
      <xdr:col>35</xdr:col>
      <xdr:colOff>0</xdr:colOff>
      <xdr:row>144</xdr:row>
      <xdr:rowOff>0</xdr:rowOff>
    </xdr:to>
    <xdr:sp macro="" textlink="">
      <xdr:nvSpPr>
        <xdr:cNvPr id="331" name="직사각형 330">
          <a:extLst>
            <a:ext uri="{FF2B5EF4-FFF2-40B4-BE49-F238E27FC236}">
              <a16:creationId xmlns:a16="http://schemas.microsoft.com/office/drawing/2014/main" id="{DBDCD385-AC02-617A-DCAC-3415987F4E14}"/>
            </a:ext>
          </a:extLst>
        </xdr:cNvPr>
        <xdr:cNvSpPr/>
      </xdr:nvSpPr>
      <xdr:spPr>
        <a:xfrm>
          <a:off x="80010002" y="8186697"/>
          <a:ext cx="672351" cy="222197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33</xdr:col>
      <xdr:colOff>669757</xdr:colOff>
      <xdr:row>152</xdr:row>
      <xdr:rowOff>1</xdr:rowOff>
    </xdr:from>
    <xdr:to>
      <xdr:col>34</xdr:col>
      <xdr:colOff>669756</xdr:colOff>
      <xdr:row>153</xdr:row>
      <xdr:rowOff>0</xdr:rowOff>
    </xdr:to>
    <xdr:sp macro="" textlink="">
      <xdr:nvSpPr>
        <xdr:cNvPr id="332" name="직사각형 331">
          <a:extLst>
            <a:ext uri="{FF2B5EF4-FFF2-40B4-BE49-F238E27FC236}">
              <a16:creationId xmlns:a16="http://schemas.microsoft.com/office/drawing/2014/main" id="{E152B47D-93BD-21F9-5B67-7130539E4426}"/>
            </a:ext>
          </a:extLst>
        </xdr:cNvPr>
        <xdr:cNvSpPr/>
      </xdr:nvSpPr>
      <xdr:spPr>
        <a:xfrm>
          <a:off x="79701189" y="10030327"/>
          <a:ext cx="669756" cy="220578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489235</xdr:colOff>
      <xdr:row>167</xdr:row>
      <xdr:rowOff>2409</xdr:rowOff>
    </xdr:from>
    <xdr:to>
      <xdr:col>26</xdr:col>
      <xdr:colOff>0</xdr:colOff>
      <xdr:row>171</xdr:row>
      <xdr:rowOff>0</xdr:rowOff>
    </xdr:to>
    <xdr:sp macro="" textlink="">
      <xdr:nvSpPr>
        <xdr:cNvPr id="335" name="직사각형 334">
          <a:extLst>
            <a:ext uri="{FF2B5EF4-FFF2-40B4-BE49-F238E27FC236}">
              <a16:creationId xmlns:a16="http://schemas.microsoft.com/office/drawing/2014/main" id="{439D9FDC-E602-3AB5-D2A8-E71A5735BCE3}"/>
            </a:ext>
          </a:extLst>
        </xdr:cNvPr>
        <xdr:cNvSpPr/>
      </xdr:nvSpPr>
      <xdr:spPr>
        <a:xfrm>
          <a:off x="74448059" y="13583938"/>
          <a:ext cx="183117" cy="894062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489235</xdr:colOff>
      <xdr:row>173</xdr:row>
      <xdr:rowOff>3012</xdr:rowOff>
    </xdr:from>
    <xdr:to>
      <xdr:col>26</xdr:col>
      <xdr:colOff>0</xdr:colOff>
      <xdr:row>176</xdr:row>
      <xdr:rowOff>224117</xdr:rowOff>
    </xdr:to>
    <xdr:sp macro="" textlink="">
      <xdr:nvSpPr>
        <xdr:cNvPr id="336" name="직사각형 335">
          <a:extLst>
            <a:ext uri="{FF2B5EF4-FFF2-40B4-BE49-F238E27FC236}">
              <a16:creationId xmlns:a16="http://schemas.microsoft.com/office/drawing/2014/main" id="{C033A1AF-D146-A06E-73A2-DA6A47437C10}"/>
            </a:ext>
          </a:extLst>
        </xdr:cNvPr>
        <xdr:cNvSpPr/>
      </xdr:nvSpPr>
      <xdr:spPr>
        <a:xfrm>
          <a:off x="74448059" y="14929247"/>
          <a:ext cx="183117" cy="893458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167</xdr:row>
      <xdr:rowOff>2410</xdr:rowOff>
    </xdr:from>
    <xdr:to>
      <xdr:col>34</xdr:col>
      <xdr:colOff>180000</xdr:colOff>
      <xdr:row>171</xdr:row>
      <xdr:rowOff>3014</xdr:rowOff>
    </xdr:to>
    <xdr:sp macro="" textlink="">
      <xdr:nvSpPr>
        <xdr:cNvPr id="337" name="직사각형 336">
          <a:extLst>
            <a:ext uri="{FF2B5EF4-FFF2-40B4-BE49-F238E27FC236}">
              <a16:creationId xmlns:a16="http://schemas.microsoft.com/office/drawing/2014/main" id="{3C898282-4FE4-ADDD-B87F-C563C1CDEC5B}"/>
            </a:ext>
          </a:extLst>
        </xdr:cNvPr>
        <xdr:cNvSpPr/>
      </xdr:nvSpPr>
      <xdr:spPr>
        <a:xfrm>
          <a:off x="80010000" y="13583939"/>
          <a:ext cx="180000" cy="897075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0</xdr:colOff>
      <xdr:row>173</xdr:row>
      <xdr:rowOff>3013</xdr:rowOff>
    </xdr:from>
    <xdr:to>
      <xdr:col>34</xdr:col>
      <xdr:colOff>180000</xdr:colOff>
      <xdr:row>177</xdr:row>
      <xdr:rowOff>3012</xdr:rowOff>
    </xdr:to>
    <xdr:sp macro="" textlink="">
      <xdr:nvSpPr>
        <xdr:cNvPr id="338" name="직사각형 337">
          <a:extLst>
            <a:ext uri="{FF2B5EF4-FFF2-40B4-BE49-F238E27FC236}">
              <a16:creationId xmlns:a16="http://schemas.microsoft.com/office/drawing/2014/main" id="{936003C2-0F6D-3A9D-0E3F-BED4CD4964AA}"/>
            </a:ext>
          </a:extLst>
        </xdr:cNvPr>
        <xdr:cNvSpPr/>
      </xdr:nvSpPr>
      <xdr:spPr>
        <a:xfrm>
          <a:off x="80010000" y="14929248"/>
          <a:ext cx="180000" cy="89647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2358</xdr:colOff>
      <xdr:row>174</xdr:row>
      <xdr:rowOff>179738</xdr:rowOff>
    </xdr:from>
    <xdr:to>
      <xdr:col>25</xdr:col>
      <xdr:colOff>439119</xdr:colOff>
      <xdr:row>177</xdr:row>
      <xdr:rowOff>3482</xdr:rowOff>
    </xdr:to>
    <xdr:sp macro="" textlink="">
      <xdr:nvSpPr>
        <xdr:cNvPr id="340" name="화살표: 굽음 339">
          <a:extLst>
            <a:ext uri="{FF2B5EF4-FFF2-40B4-BE49-F238E27FC236}">
              <a16:creationId xmlns:a16="http://schemas.microsoft.com/office/drawing/2014/main" id="{C77A5FE0-2B19-B84D-EF7F-97045F439CBA}"/>
            </a:ext>
          </a:extLst>
        </xdr:cNvPr>
        <xdr:cNvSpPr/>
      </xdr:nvSpPr>
      <xdr:spPr>
        <a:xfrm>
          <a:off x="73618184" y="15028799"/>
          <a:ext cx="436761" cy="479726"/>
        </a:xfrm>
        <a:prstGeom prst="bentArrow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34</xdr:col>
      <xdr:colOff>232474</xdr:colOff>
      <xdr:row>166</xdr:row>
      <xdr:rowOff>221411</xdr:rowOff>
    </xdr:from>
    <xdr:to>
      <xdr:col>35</xdr:col>
      <xdr:colOff>0</xdr:colOff>
      <xdr:row>169</xdr:row>
      <xdr:rowOff>38923</xdr:rowOff>
    </xdr:to>
    <xdr:sp macro="" textlink="">
      <xdr:nvSpPr>
        <xdr:cNvPr id="341" name="화살표: 굽음 340">
          <a:extLst>
            <a:ext uri="{FF2B5EF4-FFF2-40B4-BE49-F238E27FC236}">
              <a16:creationId xmlns:a16="http://schemas.microsoft.com/office/drawing/2014/main" id="{D0DD7A0B-8151-CBB4-0EE3-D131BB1F6721}"/>
            </a:ext>
          </a:extLst>
        </xdr:cNvPr>
        <xdr:cNvSpPr/>
      </xdr:nvSpPr>
      <xdr:spPr>
        <a:xfrm flipH="1" flipV="1">
          <a:off x="79960678" y="13414075"/>
          <a:ext cx="437511" cy="481746"/>
        </a:xfrm>
        <a:prstGeom prst="bentArrow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34</xdr:col>
      <xdr:colOff>232474</xdr:colOff>
      <xdr:row>174</xdr:row>
      <xdr:rowOff>179008</xdr:rowOff>
    </xdr:from>
    <xdr:to>
      <xdr:col>35</xdr:col>
      <xdr:colOff>0</xdr:colOff>
      <xdr:row>177</xdr:row>
      <xdr:rowOff>2</xdr:rowOff>
    </xdr:to>
    <xdr:sp macro="" textlink="">
      <xdr:nvSpPr>
        <xdr:cNvPr id="342" name="화살표: 굽음 341">
          <a:extLst>
            <a:ext uri="{FF2B5EF4-FFF2-40B4-BE49-F238E27FC236}">
              <a16:creationId xmlns:a16="http://schemas.microsoft.com/office/drawing/2014/main" id="{CE80EECE-586D-BFF6-E76E-9968DCDB0733}"/>
            </a:ext>
          </a:extLst>
        </xdr:cNvPr>
        <xdr:cNvSpPr/>
      </xdr:nvSpPr>
      <xdr:spPr>
        <a:xfrm flipH="1">
          <a:off x="79960678" y="15142963"/>
          <a:ext cx="437511" cy="485228"/>
        </a:xfrm>
        <a:prstGeom prst="bentArrow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33</xdr:col>
      <xdr:colOff>489234</xdr:colOff>
      <xdr:row>191</xdr:row>
      <xdr:rowOff>2409</xdr:rowOff>
    </xdr:from>
    <xdr:to>
      <xdr:col>34</xdr:col>
      <xdr:colOff>0</xdr:colOff>
      <xdr:row>195</xdr:row>
      <xdr:rowOff>0</xdr:rowOff>
    </xdr:to>
    <xdr:sp macro="" textlink="">
      <xdr:nvSpPr>
        <xdr:cNvPr id="343" name="직사각형 342">
          <a:extLst>
            <a:ext uri="{FF2B5EF4-FFF2-40B4-BE49-F238E27FC236}">
              <a16:creationId xmlns:a16="http://schemas.microsoft.com/office/drawing/2014/main" id="{2BD3B382-C8E7-C7AA-5B74-E4874741D2A6}"/>
            </a:ext>
          </a:extLst>
        </xdr:cNvPr>
        <xdr:cNvSpPr/>
      </xdr:nvSpPr>
      <xdr:spPr>
        <a:xfrm>
          <a:off x="80129120" y="18475466"/>
          <a:ext cx="185680" cy="868448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33</xdr:col>
      <xdr:colOff>489234</xdr:colOff>
      <xdr:row>197</xdr:row>
      <xdr:rowOff>3012</xdr:rowOff>
    </xdr:from>
    <xdr:to>
      <xdr:col>34</xdr:col>
      <xdr:colOff>0</xdr:colOff>
      <xdr:row>201</xdr:row>
      <xdr:rowOff>6402</xdr:rowOff>
    </xdr:to>
    <xdr:sp macro="" textlink="">
      <xdr:nvSpPr>
        <xdr:cNvPr id="344" name="직사각형 343">
          <a:extLst>
            <a:ext uri="{FF2B5EF4-FFF2-40B4-BE49-F238E27FC236}">
              <a16:creationId xmlns:a16="http://schemas.microsoft.com/office/drawing/2014/main" id="{9EA9533A-7A72-6C3F-41A6-2C290892171F}"/>
            </a:ext>
          </a:extLst>
        </xdr:cNvPr>
        <xdr:cNvSpPr/>
      </xdr:nvSpPr>
      <xdr:spPr>
        <a:xfrm>
          <a:off x="80129120" y="19782355"/>
          <a:ext cx="185680" cy="874247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42</xdr:col>
      <xdr:colOff>0</xdr:colOff>
      <xdr:row>191</xdr:row>
      <xdr:rowOff>2410</xdr:rowOff>
    </xdr:from>
    <xdr:to>
      <xdr:col>42</xdr:col>
      <xdr:colOff>180000</xdr:colOff>
      <xdr:row>195</xdr:row>
      <xdr:rowOff>3014</xdr:rowOff>
    </xdr:to>
    <xdr:sp macro="" textlink="">
      <xdr:nvSpPr>
        <xdr:cNvPr id="345" name="직사각형 344">
          <a:extLst>
            <a:ext uri="{FF2B5EF4-FFF2-40B4-BE49-F238E27FC236}">
              <a16:creationId xmlns:a16="http://schemas.microsoft.com/office/drawing/2014/main" id="{C10D6BC4-8BE5-2664-0202-889BEB077DDF}"/>
            </a:ext>
          </a:extLst>
        </xdr:cNvPr>
        <xdr:cNvSpPr/>
      </xdr:nvSpPr>
      <xdr:spPr>
        <a:xfrm>
          <a:off x="85714114" y="18475467"/>
          <a:ext cx="180000" cy="871461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42</xdr:col>
      <xdr:colOff>0</xdr:colOff>
      <xdr:row>197</xdr:row>
      <xdr:rowOff>3013</xdr:rowOff>
    </xdr:from>
    <xdr:to>
      <xdr:col>42</xdr:col>
      <xdr:colOff>180000</xdr:colOff>
      <xdr:row>201</xdr:row>
      <xdr:rowOff>3012</xdr:rowOff>
    </xdr:to>
    <xdr:sp macro="" textlink="">
      <xdr:nvSpPr>
        <xdr:cNvPr id="346" name="직사각형 345">
          <a:extLst>
            <a:ext uri="{FF2B5EF4-FFF2-40B4-BE49-F238E27FC236}">
              <a16:creationId xmlns:a16="http://schemas.microsoft.com/office/drawing/2014/main" id="{C049C170-BCA3-D76E-80E0-6E88F18C7D99}"/>
            </a:ext>
          </a:extLst>
        </xdr:cNvPr>
        <xdr:cNvSpPr/>
      </xdr:nvSpPr>
      <xdr:spPr>
        <a:xfrm>
          <a:off x="85714114" y="19782356"/>
          <a:ext cx="180000" cy="870856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0</xdr:colOff>
      <xdr:row>61</xdr:row>
      <xdr:rowOff>4673</xdr:rowOff>
    </xdr:from>
    <xdr:to>
      <xdr:col>25</xdr:col>
      <xdr:colOff>480357</xdr:colOff>
      <xdr:row>62</xdr:row>
      <xdr:rowOff>220717</xdr:rowOff>
    </xdr:to>
    <xdr:sp macro="" textlink="">
      <xdr:nvSpPr>
        <xdr:cNvPr id="347" name="화살표: 굽음 346">
          <a:extLst>
            <a:ext uri="{FF2B5EF4-FFF2-40B4-BE49-F238E27FC236}">
              <a16:creationId xmlns:a16="http://schemas.microsoft.com/office/drawing/2014/main" id="{6D03315D-E90D-43EA-8B62-BD0FA34BAF09}"/>
            </a:ext>
          </a:extLst>
        </xdr:cNvPr>
        <xdr:cNvSpPr/>
      </xdr:nvSpPr>
      <xdr:spPr>
        <a:xfrm rot="5400000" flipH="1" flipV="1">
          <a:off x="53834764" y="13604282"/>
          <a:ext cx="436761" cy="480357"/>
        </a:xfrm>
        <a:prstGeom prst="bentArrow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0</xdr:colOff>
      <xdr:row>67</xdr:row>
      <xdr:rowOff>0</xdr:rowOff>
    </xdr:from>
    <xdr:to>
      <xdr:col>25</xdr:col>
      <xdr:colOff>480357</xdr:colOff>
      <xdr:row>68</xdr:row>
      <xdr:rowOff>216043</xdr:rowOff>
    </xdr:to>
    <xdr:sp macro="" textlink="">
      <xdr:nvSpPr>
        <xdr:cNvPr id="348" name="화살표: 굽음 347">
          <a:extLst>
            <a:ext uri="{FF2B5EF4-FFF2-40B4-BE49-F238E27FC236}">
              <a16:creationId xmlns:a16="http://schemas.microsoft.com/office/drawing/2014/main" id="{9A66867C-9830-C7EA-66AC-086685331E64}"/>
            </a:ext>
          </a:extLst>
        </xdr:cNvPr>
        <xdr:cNvSpPr/>
      </xdr:nvSpPr>
      <xdr:spPr>
        <a:xfrm rot="16200000" flipH="1">
          <a:off x="53834764" y="14923912"/>
          <a:ext cx="436761" cy="480357"/>
        </a:xfrm>
        <a:prstGeom prst="bentArrow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34</xdr:col>
      <xdr:colOff>192305</xdr:colOff>
      <xdr:row>61</xdr:row>
      <xdr:rowOff>0</xdr:rowOff>
    </xdr:from>
    <xdr:to>
      <xdr:col>35</xdr:col>
      <xdr:colOff>0</xdr:colOff>
      <xdr:row>62</xdr:row>
      <xdr:rowOff>216044</xdr:rowOff>
    </xdr:to>
    <xdr:sp macro="" textlink="">
      <xdr:nvSpPr>
        <xdr:cNvPr id="349" name="화살표: 굽음 348">
          <a:extLst>
            <a:ext uri="{FF2B5EF4-FFF2-40B4-BE49-F238E27FC236}">
              <a16:creationId xmlns:a16="http://schemas.microsoft.com/office/drawing/2014/main" id="{5495090A-90DF-1A6D-48BD-4F39A8656E49}"/>
            </a:ext>
          </a:extLst>
        </xdr:cNvPr>
        <xdr:cNvSpPr/>
      </xdr:nvSpPr>
      <xdr:spPr>
        <a:xfrm rot="16200000" flipV="1">
          <a:off x="60081027" y="13599609"/>
          <a:ext cx="436761" cy="480357"/>
        </a:xfrm>
        <a:prstGeom prst="bentArrow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34</xdr:col>
      <xdr:colOff>192305</xdr:colOff>
      <xdr:row>66</xdr:row>
      <xdr:rowOff>216044</xdr:rowOff>
    </xdr:from>
    <xdr:to>
      <xdr:col>35</xdr:col>
      <xdr:colOff>0</xdr:colOff>
      <xdr:row>68</xdr:row>
      <xdr:rowOff>211370</xdr:rowOff>
    </xdr:to>
    <xdr:sp macro="" textlink="">
      <xdr:nvSpPr>
        <xdr:cNvPr id="350" name="화살표: 굽음 349">
          <a:extLst>
            <a:ext uri="{FF2B5EF4-FFF2-40B4-BE49-F238E27FC236}">
              <a16:creationId xmlns:a16="http://schemas.microsoft.com/office/drawing/2014/main" id="{57EEB49F-637A-5955-4A61-0F975D5DB728}"/>
            </a:ext>
          </a:extLst>
        </xdr:cNvPr>
        <xdr:cNvSpPr/>
      </xdr:nvSpPr>
      <xdr:spPr>
        <a:xfrm rot="5400000">
          <a:off x="60081027" y="14919239"/>
          <a:ext cx="436761" cy="480357"/>
        </a:xfrm>
        <a:prstGeom prst="bentArrow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64</xdr:col>
      <xdr:colOff>0</xdr:colOff>
      <xdr:row>22</xdr:row>
      <xdr:rowOff>1</xdr:rowOff>
    </xdr:from>
    <xdr:to>
      <xdr:col>72</xdr:col>
      <xdr:colOff>524</xdr:colOff>
      <xdr:row>23</xdr:row>
      <xdr:rowOff>0</xdr:rowOff>
    </xdr:to>
    <xdr:sp macro="" textlink="">
      <xdr:nvSpPr>
        <xdr:cNvPr id="351" name="직사각형 350">
          <a:extLst>
            <a:ext uri="{FF2B5EF4-FFF2-40B4-BE49-F238E27FC236}">
              <a16:creationId xmlns:a16="http://schemas.microsoft.com/office/drawing/2014/main" id="{46F95A87-C3F1-4C63-B9C7-8FA9B4301688}"/>
            </a:ext>
          </a:extLst>
        </xdr:cNvPr>
        <xdr:cNvSpPr/>
      </xdr:nvSpPr>
      <xdr:spPr>
        <a:xfrm>
          <a:off x="59679840" y="4968241"/>
          <a:ext cx="5365004" cy="213359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0</xdr:colOff>
      <xdr:row>21</xdr:row>
      <xdr:rowOff>1919</xdr:rowOff>
    </xdr:from>
    <xdr:to>
      <xdr:col>72</xdr:col>
      <xdr:colOff>524</xdr:colOff>
      <xdr:row>22</xdr:row>
      <xdr:rowOff>0</xdr:rowOff>
    </xdr:to>
    <xdr:sp macro="" textlink="">
      <xdr:nvSpPr>
        <xdr:cNvPr id="352" name="직사각형 351">
          <a:extLst>
            <a:ext uri="{FF2B5EF4-FFF2-40B4-BE49-F238E27FC236}">
              <a16:creationId xmlns:a16="http://schemas.microsoft.com/office/drawing/2014/main" id="{506526E4-C36C-4CCE-B373-790C61AE4B2F}"/>
            </a:ext>
          </a:extLst>
        </xdr:cNvPr>
        <xdr:cNvSpPr/>
      </xdr:nvSpPr>
      <xdr:spPr>
        <a:xfrm>
          <a:off x="59679840" y="4756799"/>
          <a:ext cx="5365004" cy="211441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0</xdr:colOff>
      <xdr:row>12</xdr:row>
      <xdr:rowOff>0</xdr:rowOff>
    </xdr:from>
    <xdr:to>
      <xdr:col>72</xdr:col>
      <xdr:colOff>524</xdr:colOff>
      <xdr:row>13</xdr:row>
      <xdr:rowOff>0</xdr:rowOff>
    </xdr:to>
    <xdr:sp macro="" textlink="">
      <xdr:nvSpPr>
        <xdr:cNvPr id="353" name="직사각형 352">
          <a:extLst>
            <a:ext uri="{FF2B5EF4-FFF2-40B4-BE49-F238E27FC236}">
              <a16:creationId xmlns:a16="http://schemas.microsoft.com/office/drawing/2014/main" id="{1210C655-E3D5-4F9F-839B-350F93735B3A}"/>
            </a:ext>
          </a:extLst>
        </xdr:cNvPr>
        <xdr:cNvSpPr/>
      </xdr:nvSpPr>
      <xdr:spPr>
        <a:xfrm>
          <a:off x="59679840" y="2804160"/>
          <a:ext cx="5365004" cy="24384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0</xdr:colOff>
      <xdr:row>11</xdr:row>
      <xdr:rowOff>1919</xdr:rowOff>
    </xdr:from>
    <xdr:to>
      <xdr:col>72</xdr:col>
      <xdr:colOff>524</xdr:colOff>
      <xdr:row>12</xdr:row>
      <xdr:rowOff>0</xdr:rowOff>
    </xdr:to>
    <xdr:sp macro="" textlink="">
      <xdr:nvSpPr>
        <xdr:cNvPr id="354" name="직사각형 353">
          <a:extLst>
            <a:ext uri="{FF2B5EF4-FFF2-40B4-BE49-F238E27FC236}">
              <a16:creationId xmlns:a16="http://schemas.microsoft.com/office/drawing/2014/main" id="{081385BE-0373-408C-BBD7-3D130B031291}"/>
            </a:ext>
          </a:extLst>
        </xdr:cNvPr>
        <xdr:cNvSpPr/>
      </xdr:nvSpPr>
      <xdr:spPr>
        <a:xfrm>
          <a:off x="59679840" y="2562239"/>
          <a:ext cx="5365004" cy="241921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0</xdr:colOff>
      <xdr:row>7</xdr:row>
      <xdr:rowOff>220579</xdr:rowOff>
    </xdr:from>
    <xdr:to>
      <xdr:col>72</xdr:col>
      <xdr:colOff>524</xdr:colOff>
      <xdr:row>10</xdr:row>
      <xdr:rowOff>218660</xdr:rowOff>
    </xdr:to>
    <xdr:sp macro="" textlink="">
      <xdr:nvSpPr>
        <xdr:cNvPr id="355" name="직사각형 354">
          <a:extLst>
            <a:ext uri="{FF2B5EF4-FFF2-40B4-BE49-F238E27FC236}">
              <a16:creationId xmlns:a16="http://schemas.microsoft.com/office/drawing/2014/main" id="{4D8F0AC8-E339-4FC1-9153-45C05A2D6CFF}"/>
            </a:ext>
          </a:extLst>
        </xdr:cNvPr>
        <xdr:cNvSpPr/>
      </xdr:nvSpPr>
      <xdr:spPr>
        <a:xfrm>
          <a:off x="59679840" y="1836019"/>
          <a:ext cx="5365004" cy="699121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669235</xdr:colOff>
      <xdr:row>8</xdr:row>
      <xdr:rowOff>220579</xdr:rowOff>
    </xdr:from>
    <xdr:to>
      <xdr:col>71</xdr:col>
      <xdr:colOff>1</xdr:colOff>
      <xdr:row>9</xdr:row>
      <xdr:rowOff>218660</xdr:rowOff>
    </xdr:to>
    <xdr:sp macro="" textlink="">
      <xdr:nvSpPr>
        <xdr:cNvPr id="356" name="직사각형 355">
          <a:extLst>
            <a:ext uri="{FF2B5EF4-FFF2-40B4-BE49-F238E27FC236}">
              <a16:creationId xmlns:a16="http://schemas.microsoft.com/office/drawing/2014/main" id="{BB95944D-D35E-4F2E-89C3-0B4E86D9645A}"/>
            </a:ext>
          </a:extLst>
        </xdr:cNvPr>
        <xdr:cNvSpPr/>
      </xdr:nvSpPr>
      <xdr:spPr>
        <a:xfrm>
          <a:off x="60349075" y="2049379"/>
          <a:ext cx="4024686" cy="24192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0</xdr:colOff>
      <xdr:row>23</xdr:row>
      <xdr:rowOff>0</xdr:rowOff>
    </xdr:from>
    <xdr:to>
      <xdr:col>72</xdr:col>
      <xdr:colOff>524</xdr:colOff>
      <xdr:row>25</xdr:row>
      <xdr:rowOff>218660</xdr:rowOff>
    </xdr:to>
    <xdr:sp macro="" textlink="">
      <xdr:nvSpPr>
        <xdr:cNvPr id="357" name="직사각형 356">
          <a:extLst>
            <a:ext uri="{FF2B5EF4-FFF2-40B4-BE49-F238E27FC236}">
              <a16:creationId xmlns:a16="http://schemas.microsoft.com/office/drawing/2014/main" id="{9E32A5CF-D1C2-434A-BD57-459F99052D53}"/>
            </a:ext>
          </a:extLst>
        </xdr:cNvPr>
        <xdr:cNvSpPr/>
      </xdr:nvSpPr>
      <xdr:spPr>
        <a:xfrm>
          <a:off x="59679840" y="5181600"/>
          <a:ext cx="5365004" cy="70634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669235</xdr:colOff>
      <xdr:row>24</xdr:row>
      <xdr:rowOff>0</xdr:rowOff>
    </xdr:from>
    <xdr:to>
      <xdr:col>71</xdr:col>
      <xdr:colOff>1</xdr:colOff>
      <xdr:row>24</xdr:row>
      <xdr:rowOff>218660</xdr:rowOff>
    </xdr:to>
    <xdr:sp macro="" textlink="">
      <xdr:nvSpPr>
        <xdr:cNvPr id="358" name="직사각형 357">
          <a:extLst>
            <a:ext uri="{FF2B5EF4-FFF2-40B4-BE49-F238E27FC236}">
              <a16:creationId xmlns:a16="http://schemas.microsoft.com/office/drawing/2014/main" id="{59E68D88-ACD6-4D8E-A2C8-76F74B3EB20B}"/>
            </a:ext>
          </a:extLst>
        </xdr:cNvPr>
        <xdr:cNvSpPr/>
      </xdr:nvSpPr>
      <xdr:spPr>
        <a:xfrm>
          <a:off x="60349075" y="5425440"/>
          <a:ext cx="4024686" cy="218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66</xdr:col>
      <xdr:colOff>0</xdr:colOff>
      <xdr:row>14</xdr:row>
      <xdr:rowOff>8965</xdr:rowOff>
    </xdr:from>
    <xdr:to>
      <xdr:col>70</xdr:col>
      <xdr:colOff>0</xdr:colOff>
      <xdr:row>20</xdr:row>
      <xdr:rowOff>0</xdr:rowOff>
    </xdr:to>
    <xdr:sp macro="" textlink="">
      <xdr:nvSpPr>
        <xdr:cNvPr id="359" name="사각형: 둥근 모서리 358">
          <a:extLst>
            <a:ext uri="{FF2B5EF4-FFF2-40B4-BE49-F238E27FC236}">
              <a16:creationId xmlns:a16="http://schemas.microsoft.com/office/drawing/2014/main" id="{0E80FA04-7925-4538-95C8-90DAEBEC3628}"/>
            </a:ext>
          </a:extLst>
        </xdr:cNvPr>
        <xdr:cNvSpPr/>
      </xdr:nvSpPr>
      <xdr:spPr>
        <a:xfrm>
          <a:off x="61020960" y="3270325"/>
          <a:ext cx="2682240" cy="1271195"/>
        </a:xfrm>
        <a:prstGeom prst="roundRect">
          <a:avLst/>
        </a:prstGeom>
        <a:ln w="57150">
          <a:solidFill>
            <a:schemeClr val="tx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69</xdr:col>
      <xdr:colOff>0</xdr:colOff>
      <xdr:row>46</xdr:row>
      <xdr:rowOff>0</xdr:rowOff>
    </xdr:from>
    <xdr:to>
      <xdr:col>76</xdr:col>
      <xdr:colOff>668434</xdr:colOff>
      <xdr:row>47</xdr:row>
      <xdr:rowOff>2318</xdr:rowOff>
    </xdr:to>
    <xdr:sp macro="" textlink="">
      <xdr:nvSpPr>
        <xdr:cNvPr id="360" name="직사각형 359">
          <a:extLst>
            <a:ext uri="{FF2B5EF4-FFF2-40B4-BE49-F238E27FC236}">
              <a16:creationId xmlns:a16="http://schemas.microsoft.com/office/drawing/2014/main" id="{60A7B7D5-6642-4CD3-BEF3-FC69277AF870}"/>
            </a:ext>
          </a:extLst>
        </xdr:cNvPr>
        <xdr:cNvSpPr/>
      </xdr:nvSpPr>
      <xdr:spPr>
        <a:xfrm>
          <a:off x="26100157" y="33759913"/>
          <a:ext cx="5353077" cy="220979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71</xdr:col>
      <xdr:colOff>672597</xdr:colOff>
      <xdr:row>45</xdr:row>
      <xdr:rowOff>1919</xdr:rowOff>
    </xdr:from>
    <xdr:to>
      <xdr:col>80</xdr:col>
      <xdr:colOff>0</xdr:colOff>
      <xdr:row>46</xdr:row>
      <xdr:rowOff>0</xdr:rowOff>
    </xdr:to>
    <xdr:sp macro="" textlink="">
      <xdr:nvSpPr>
        <xdr:cNvPr id="361" name="직사각형 360">
          <a:extLst>
            <a:ext uri="{FF2B5EF4-FFF2-40B4-BE49-F238E27FC236}">
              <a16:creationId xmlns:a16="http://schemas.microsoft.com/office/drawing/2014/main" id="{93CF3DF9-040D-4986-89C9-5B145A1DB76E}"/>
            </a:ext>
          </a:extLst>
        </xdr:cNvPr>
        <xdr:cNvSpPr/>
      </xdr:nvSpPr>
      <xdr:spPr>
        <a:xfrm>
          <a:off x="28344083" y="33344862"/>
          <a:ext cx="5401631" cy="215795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71</xdr:col>
      <xdr:colOff>672597</xdr:colOff>
      <xdr:row>36</xdr:row>
      <xdr:rowOff>0</xdr:rowOff>
    </xdr:from>
    <xdr:to>
      <xdr:col>80</xdr:col>
      <xdr:colOff>0</xdr:colOff>
      <xdr:row>37</xdr:row>
      <xdr:rowOff>0</xdr:rowOff>
    </xdr:to>
    <xdr:sp macro="" textlink="">
      <xdr:nvSpPr>
        <xdr:cNvPr id="362" name="직사각형 361">
          <a:extLst>
            <a:ext uri="{FF2B5EF4-FFF2-40B4-BE49-F238E27FC236}">
              <a16:creationId xmlns:a16="http://schemas.microsoft.com/office/drawing/2014/main" id="{34881125-225C-4C3F-BA27-D4B4835D632B}"/>
            </a:ext>
          </a:extLst>
        </xdr:cNvPr>
        <xdr:cNvSpPr/>
      </xdr:nvSpPr>
      <xdr:spPr>
        <a:xfrm>
          <a:off x="28344083" y="31383514"/>
          <a:ext cx="5401631" cy="217715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69</xdr:col>
      <xdr:colOff>0</xdr:colOff>
      <xdr:row>35</xdr:row>
      <xdr:rowOff>1919</xdr:rowOff>
    </xdr:from>
    <xdr:to>
      <xdr:col>77</xdr:col>
      <xdr:colOff>525</xdr:colOff>
      <xdr:row>36</xdr:row>
      <xdr:rowOff>0</xdr:rowOff>
    </xdr:to>
    <xdr:sp macro="" textlink="">
      <xdr:nvSpPr>
        <xdr:cNvPr id="363" name="직사각형 362">
          <a:extLst>
            <a:ext uri="{FF2B5EF4-FFF2-40B4-BE49-F238E27FC236}">
              <a16:creationId xmlns:a16="http://schemas.microsoft.com/office/drawing/2014/main" id="{8CA979C4-6DBB-4BB7-AA53-4C56A9378514}"/>
            </a:ext>
          </a:extLst>
        </xdr:cNvPr>
        <xdr:cNvSpPr/>
      </xdr:nvSpPr>
      <xdr:spPr>
        <a:xfrm>
          <a:off x="26321657" y="31167719"/>
          <a:ext cx="5399839" cy="215795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0</xdr:colOff>
      <xdr:row>31</xdr:row>
      <xdr:rowOff>220579</xdr:rowOff>
    </xdr:from>
    <xdr:to>
      <xdr:col>72</xdr:col>
      <xdr:colOff>524</xdr:colOff>
      <xdr:row>34</xdr:row>
      <xdr:rowOff>218660</xdr:rowOff>
    </xdr:to>
    <xdr:sp macro="" textlink="">
      <xdr:nvSpPr>
        <xdr:cNvPr id="364" name="직사각형 363">
          <a:extLst>
            <a:ext uri="{FF2B5EF4-FFF2-40B4-BE49-F238E27FC236}">
              <a16:creationId xmlns:a16="http://schemas.microsoft.com/office/drawing/2014/main" id="{6C92AC90-7E3B-40F0-BF04-D0F0C7BF01A1}"/>
            </a:ext>
          </a:extLst>
        </xdr:cNvPr>
        <xdr:cNvSpPr/>
      </xdr:nvSpPr>
      <xdr:spPr>
        <a:xfrm>
          <a:off x="59679840" y="7230979"/>
          <a:ext cx="5365004" cy="638161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669235</xdr:colOff>
      <xdr:row>32</xdr:row>
      <xdr:rowOff>220579</xdr:rowOff>
    </xdr:from>
    <xdr:to>
      <xdr:col>71</xdr:col>
      <xdr:colOff>1</xdr:colOff>
      <xdr:row>33</xdr:row>
      <xdr:rowOff>218660</xdr:rowOff>
    </xdr:to>
    <xdr:sp macro="" textlink="">
      <xdr:nvSpPr>
        <xdr:cNvPr id="365" name="직사각형 364">
          <a:extLst>
            <a:ext uri="{FF2B5EF4-FFF2-40B4-BE49-F238E27FC236}">
              <a16:creationId xmlns:a16="http://schemas.microsoft.com/office/drawing/2014/main" id="{CBD82E53-DBEF-4AF7-8F6C-F4CA4886CA59}"/>
            </a:ext>
          </a:extLst>
        </xdr:cNvPr>
        <xdr:cNvSpPr/>
      </xdr:nvSpPr>
      <xdr:spPr>
        <a:xfrm>
          <a:off x="60349075" y="7444339"/>
          <a:ext cx="4024686" cy="21144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0</xdr:colOff>
      <xdr:row>47</xdr:row>
      <xdr:rowOff>0</xdr:rowOff>
    </xdr:from>
    <xdr:to>
      <xdr:col>72</xdr:col>
      <xdr:colOff>524</xdr:colOff>
      <xdr:row>49</xdr:row>
      <xdr:rowOff>218660</xdr:rowOff>
    </xdr:to>
    <xdr:sp macro="" textlink="">
      <xdr:nvSpPr>
        <xdr:cNvPr id="366" name="직사각형 365">
          <a:extLst>
            <a:ext uri="{FF2B5EF4-FFF2-40B4-BE49-F238E27FC236}">
              <a16:creationId xmlns:a16="http://schemas.microsoft.com/office/drawing/2014/main" id="{D953D11C-D03D-4881-BB31-F7B12A12D695}"/>
            </a:ext>
          </a:extLst>
        </xdr:cNvPr>
        <xdr:cNvSpPr/>
      </xdr:nvSpPr>
      <xdr:spPr>
        <a:xfrm>
          <a:off x="59679840" y="10424160"/>
          <a:ext cx="5365004" cy="64538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669235</xdr:colOff>
      <xdr:row>48</xdr:row>
      <xdr:rowOff>0</xdr:rowOff>
    </xdr:from>
    <xdr:to>
      <xdr:col>71</xdr:col>
      <xdr:colOff>1</xdr:colOff>
      <xdr:row>48</xdr:row>
      <xdr:rowOff>218660</xdr:rowOff>
    </xdr:to>
    <xdr:sp macro="" textlink="">
      <xdr:nvSpPr>
        <xdr:cNvPr id="367" name="직사각형 366">
          <a:extLst>
            <a:ext uri="{FF2B5EF4-FFF2-40B4-BE49-F238E27FC236}">
              <a16:creationId xmlns:a16="http://schemas.microsoft.com/office/drawing/2014/main" id="{934FFCE4-DAC7-4F9F-9295-C3863D94A01A}"/>
            </a:ext>
          </a:extLst>
        </xdr:cNvPr>
        <xdr:cNvSpPr/>
      </xdr:nvSpPr>
      <xdr:spPr>
        <a:xfrm>
          <a:off x="60349075" y="10637520"/>
          <a:ext cx="4024686" cy="218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71</xdr:col>
      <xdr:colOff>669854</xdr:colOff>
      <xdr:row>38</xdr:row>
      <xdr:rowOff>0</xdr:rowOff>
    </xdr:from>
    <xdr:to>
      <xdr:col>76</xdr:col>
      <xdr:colOff>0</xdr:colOff>
      <xdr:row>43</xdr:row>
      <xdr:rowOff>215711</xdr:rowOff>
    </xdr:to>
    <xdr:sp macro="" textlink="">
      <xdr:nvSpPr>
        <xdr:cNvPr id="368" name="사각형: 둥근 모서리 367">
          <a:extLst>
            <a:ext uri="{FF2B5EF4-FFF2-40B4-BE49-F238E27FC236}">
              <a16:creationId xmlns:a16="http://schemas.microsoft.com/office/drawing/2014/main" id="{38EF6782-1A21-404E-A334-1FF6B2B56DEB}"/>
            </a:ext>
          </a:extLst>
        </xdr:cNvPr>
        <xdr:cNvSpPr/>
      </xdr:nvSpPr>
      <xdr:spPr>
        <a:xfrm>
          <a:off x="28248999" y="32245738"/>
          <a:ext cx="2693456" cy="1319297"/>
        </a:xfrm>
        <a:prstGeom prst="roundRect">
          <a:avLst/>
        </a:prstGeom>
        <a:ln w="57150">
          <a:solidFill>
            <a:schemeClr val="tx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66</xdr:col>
      <xdr:colOff>0</xdr:colOff>
      <xdr:row>40</xdr:row>
      <xdr:rowOff>21772</xdr:rowOff>
    </xdr:from>
    <xdr:to>
      <xdr:col>71</xdr:col>
      <xdr:colOff>0</xdr:colOff>
      <xdr:row>42</xdr:row>
      <xdr:rowOff>21772</xdr:rowOff>
    </xdr:to>
    <xdr:sp macro="" textlink="">
      <xdr:nvSpPr>
        <xdr:cNvPr id="369" name="화살표: 오른쪽 368">
          <a:extLst>
            <a:ext uri="{FF2B5EF4-FFF2-40B4-BE49-F238E27FC236}">
              <a16:creationId xmlns:a16="http://schemas.microsoft.com/office/drawing/2014/main" id="{33EE42CB-971F-4A4F-B958-0F5E49B9E280}"/>
            </a:ext>
          </a:extLst>
        </xdr:cNvPr>
        <xdr:cNvSpPr/>
      </xdr:nvSpPr>
      <xdr:spPr>
        <a:xfrm>
          <a:off x="24296914" y="32276143"/>
          <a:ext cx="3374572" cy="435429"/>
        </a:xfrm>
        <a:prstGeom prst="rightArrow">
          <a:avLst/>
        </a:prstGeom>
        <a:solidFill>
          <a:schemeClr val="bg1">
            <a:lumMod val="95000"/>
          </a:schemeClr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0</xdr:colOff>
      <xdr:row>55</xdr:row>
      <xdr:rowOff>220579</xdr:rowOff>
    </xdr:from>
    <xdr:to>
      <xdr:col>72</xdr:col>
      <xdr:colOff>524</xdr:colOff>
      <xdr:row>58</xdr:row>
      <xdr:rowOff>218660</xdr:rowOff>
    </xdr:to>
    <xdr:sp macro="" textlink="">
      <xdr:nvSpPr>
        <xdr:cNvPr id="374" name="직사각형 373">
          <a:extLst>
            <a:ext uri="{FF2B5EF4-FFF2-40B4-BE49-F238E27FC236}">
              <a16:creationId xmlns:a16="http://schemas.microsoft.com/office/drawing/2014/main" id="{7410A1DA-9111-4732-939C-5885AF5EE919}"/>
            </a:ext>
          </a:extLst>
        </xdr:cNvPr>
        <xdr:cNvSpPr/>
      </xdr:nvSpPr>
      <xdr:spPr>
        <a:xfrm>
          <a:off x="59679840" y="12412579"/>
          <a:ext cx="5365004" cy="638161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669235</xdr:colOff>
      <xdr:row>56</xdr:row>
      <xdr:rowOff>220579</xdr:rowOff>
    </xdr:from>
    <xdr:to>
      <xdr:col>71</xdr:col>
      <xdr:colOff>1</xdr:colOff>
      <xdr:row>57</xdr:row>
      <xdr:rowOff>218660</xdr:rowOff>
    </xdr:to>
    <xdr:sp macro="" textlink="">
      <xdr:nvSpPr>
        <xdr:cNvPr id="375" name="직사각형 374">
          <a:extLst>
            <a:ext uri="{FF2B5EF4-FFF2-40B4-BE49-F238E27FC236}">
              <a16:creationId xmlns:a16="http://schemas.microsoft.com/office/drawing/2014/main" id="{3E03EC52-77F8-4C2D-87C3-31C7FC48780C}"/>
            </a:ext>
          </a:extLst>
        </xdr:cNvPr>
        <xdr:cNvSpPr/>
      </xdr:nvSpPr>
      <xdr:spPr>
        <a:xfrm>
          <a:off x="60349075" y="12625939"/>
          <a:ext cx="4024686" cy="21144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0</xdr:colOff>
      <xdr:row>71</xdr:row>
      <xdr:rowOff>0</xdr:rowOff>
    </xdr:from>
    <xdr:to>
      <xdr:col>72</xdr:col>
      <xdr:colOff>524</xdr:colOff>
      <xdr:row>73</xdr:row>
      <xdr:rowOff>218660</xdr:rowOff>
    </xdr:to>
    <xdr:sp macro="" textlink="">
      <xdr:nvSpPr>
        <xdr:cNvPr id="376" name="직사각형 375">
          <a:extLst>
            <a:ext uri="{FF2B5EF4-FFF2-40B4-BE49-F238E27FC236}">
              <a16:creationId xmlns:a16="http://schemas.microsoft.com/office/drawing/2014/main" id="{191F0008-EB48-48E5-A5B0-4A4B9B6EA4C7}"/>
            </a:ext>
          </a:extLst>
        </xdr:cNvPr>
        <xdr:cNvSpPr/>
      </xdr:nvSpPr>
      <xdr:spPr>
        <a:xfrm>
          <a:off x="59679840" y="15605760"/>
          <a:ext cx="5365004" cy="64538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669235</xdr:colOff>
      <xdr:row>72</xdr:row>
      <xdr:rowOff>0</xdr:rowOff>
    </xdr:from>
    <xdr:to>
      <xdr:col>71</xdr:col>
      <xdr:colOff>1</xdr:colOff>
      <xdr:row>72</xdr:row>
      <xdr:rowOff>218660</xdr:rowOff>
    </xdr:to>
    <xdr:sp macro="" textlink="">
      <xdr:nvSpPr>
        <xdr:cNvPr id="377" name="직사각형 376">
          <a:extLst>
            <a:ext uri="{FF2B5EF4-FFF2-40B4-BE49-F238E27FC236}">
              <a16:creationId xmlns:a16="http://schemas.microsoft.com/office/drawing/2014/main" id="{51B21AA7-6427-4C0A-971C-F306E4CFB140}"/>
            </a:ext>
          </a:extLst>
        </xdr:cNvPr>
        <xdr:cNvSpPr/>
      </xdr:nvSpPr>
      <xdr:spPr>
        <a:xfrm>
          <a:off x="60349075" y="15819120"/>
          <a:ext cx="4024686" cy="218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0</xdr:colOff>
      <xdr:row>94</xdr:row>
      <xdr:rowOff>1</xdr:rowOff>
    </xdr:from>
    <xdr:to>
      <xdr:col>72</xdr:col>
      <xdr:colOff>524</xdr:colOff>
      <xdr:row>95</xdr:row>
      <xdr:rowOff>0</xdr:rowOff>
    </xdr:to>
    <xdr:sp macro="" textlink="">
      <xdr:nvSpPr>
        <xdr:cNvPr id="379" name="직사각형 378">
          <a:extLst>
            <a:ext uri="{FF2B5EF4-FFF2-40B4-BE49-F238E27FC236}">
              <a16:creationId xmlns:a16="http://schemas.microsoft.com/office/drawing/2014/main" id="{D080F361-16FB-47F2-AA86-21A01FC8D58A}"/>
            </a:ext>
          </a:extLst>
        </xdr:cNvPr>
        <xdr:cNvSpPr/>
      </xdr:nvSpPr>
      <xdr:spPr>
        <a:xfrm>
          <a:off x="59679840" y="20574001"/>
          <a:ext cx="5365004" cy="213359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0</xdr:colOff>
      <xdr:row>93</xdr:row>
      <xdr:rowOff>1919</xdr:rowOff>
    </xdr:from>
    <xdr:to>
      <xdr:col>72</xdr:col>
      <xdr:colOff>524</xdr:colOff>
      <xdr:row>94</xdr:row>
      <xdr:rowOff>0</xdr:rowOff>
    </xdr:to>
    <xdr:sp macro="" textlink="">
      <xdr:nvSpPr>
        <xdr:cNvPr id="380" name="직사각형 379">
          <a:extLst>
            <a:ext uri="{FF2B5EF4-FFF2-40B4-BE49-F238E27FC236}">
              <a16:creationId xmlns:a16="http://schemas.microsoft.com/office/drawing/2014/main" id="{7A761921-9797-479A-A454-C197AC792003}"/>
            </a:ext>
          </a:extLst>
        </xdr:cNvPr>
        <xdr:cNvSpPr/>
      </xdr:nvSpPr>
      <xdr:spPr>
        <a:xfrm>
          <a:off x="59679840" y="20362559"/>
          <a:ext cx="5365004" cy="211441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0</xdr:colOff>
      <xdr:row>84</xdr:row>
      <xdr:rowOff>0</xdr:rowOff>
    </xdr:from>
    <xdr:to>
      <xdr:col>72</xdr:col>
      <xdr:colOff>524</xdr:colOff>
      <xdr:row>85</xdr:row>
      <xdr:rowOff>0</xdr:rowOff>
    </xdr:to>
    <xdr:sp macro="" textlink="">
      <xdr:nvSpPr>
        <xdr:cNvPr id="381" name="직사각형 380">
          <a:extLst>
            <a:ext uri="{FF2B5EF4-FFF2-40B4-BE49-F238E27FC236}">
              <a16:creationId xmlns:a16="http://schemas.microsoft.com/office/drawing/2014/main" id="{0DBD77AE-82A1-4AC4-BCC9-1F69A78EA499}"/>
            </a:ext>
          </a:extLst>
        </xdr:cNvPr>
        <xdr:cNvSpPr/>
      </xdr:nvSpPr>
      <xdr:spPr>
        <a:xfrm>
          <a:off x="59679840" y="18440400"/>
          <a:ext cx="5365004" cy="21336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0</xdr:colOff>
      <xdr:row>83</xdr:row>
      <xdr:rowOff>1919</xdr:rowOff>
    </xdr:from>
    <xdr:to>
      <xdr:col>72</xdr:col>
      <xdr:colOff>524</xdr:colOff>
      <xdr:row>84</xdr:row>
      <xdr:rowOff>0</xdr:rowOff>
    </xdr:to>
    <xdr:sp macro="" textlink="">
      <xdr:nvSpPr>
        <xdr:cNvPr id="382" name="직사각형 381">
          <a:extLst>
            <a:ext uri="{FF2B5EF4-FFF2-40B4-BE49-F238E27FC236}">
              <a16:creationId xmlns:a16="http://schemas.microsoft.com/office/drawing/2014/main" id="{E87ED7ED-8874-466A-A657-1289929F2C25}"/>
            </a:ext>
          </a:extLst>
        </xdr:cNvPr>
        <xdr:cNvSpPr/>
      </xdr:nvSpPr>
      <xdr:spPr>
        <a:xfrm>
          <a:off x="59679840" y="18228959"/>
          <a:ext cx="5365004" cy="211441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0</xdr:colOff>
      <xdr:row>79</xdr:row>
      <xdr:rowOff>220579</xdr:rowOff>
    </xdr:from>
    <xdr:to>
      <xdr:col>72</xdr:col>
      <xdr:colOff>524</xdr:colOff>
      <xdr:row>82</xdr:row>
      <xdr:rowOff>218660</xdr:rowOff>
    </xdr:to>
    <xdr:sp macro="" textlink="">
      <xdr:nvSpPr>
        <xdr:cNvPr id="383" name="직사각형 382">
          <a:extLst>
            <a:ext uri="{FF2B5EF4-FFF2-40B4-BE49-F238E27FC236}">
              <a16:creationId xmlns:a16="http://schemas.microsoft.com/office/drawing/2014/main" id="{BF90C621-14CE-4517-AF80-1EFBC4868CB2}"/>
            </a:ext>
          </a:extLst>
        </xdr:cNvPr>
        <xdr:cNvSpPr/>
      </xdr:nvSpPr>
      <xdr:spPr>
        <a:xfrm>
          <a:off x="59679840" y="17594179"/>
          <a:ext cx="5365004" cy="638161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669235</xdr:colOff>
      <xdr:row>80</xdr:row>
      <xdr:rowOff>220579</xdr:rowOff>
    </xdr:from>
    <xdr:to>
      <xdr:col>71</xdr:col>
      <xdr:colOff>1</xdr:colOff>
      <xdr:row>81</xdr:row>
      <xdr:rowOff>218660</xdr:rowOff>
    </xdr:to>
    <xdr:sp macro="" textlink="">
      <xdr:nvSpPr>
        <xdr:cNvPr id="384" name="직사각형 383">
          <a:extLst>
            <a:ext uri="{FF2B5EF4-FFF2-40B4-BE49-F238E27FC236}">
              <a16:creationId xmlns:a16="http://schemas.microsoft.com/office/drawing/2014/main" id="{EA1768BB-C465-4763-AA0E-9E3E49D490A6}"/>
            </a:ext>
          </a:extLst>
        </xdr:cNvPr>
        <xdr:cNvSpPr/>
      </xdr:nvSpPr>
      <xdr:spPr>
        <a:xfrm>
          <a:off x="60349075" y="17807539"/>
          <a:ext cx="4024686" cy="21144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0</xdr:colOff>
      <xdr:row>95</xdr:row>
      <xdr:rowOff>0</xdr:rowOff>
    </xdr:from>
    <xdr:to>
      <xdr:col>72</xdr:col>
      <xdr:colOff>524</xdr:colOff>
      <xdr:row>97</xdr:row>
      <xdr:rowOff>218660</xdr:rowOff>
    </xdr:to>
    <xdr:sp macro="" textlink="">
      <xdr:nvSpPr>
        <xdr:cNvPr id="385" name="직사각형 384">
          <a:extLst>
            <a:ext uri="{FF2B5EF4-FFF2-40B4-BE49-F238E27FC236}">
              <a16:creationId xmlns:a16="http://schemas.microsoft.com/office/drawing/2014/main" id="{A73C5367-2428-41B4-A982-257471316316}"/>
            </a:ext>
          </a:extLst>
        </xdr:cNvPr>
        <xdr:cNvSpPr/>
      </xdr:nvSpPr>
      <xdr:spPr>
        <a:xfrm>
          <a:off x="59679840" y="20787360"/>
          <a:ext cx="5365004" cy="64538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669235</xdr:colOff>
      <xdr:row>96</xdr:row>
      <xdr:rowOff>0</xdr:rowOff>
    </xdr:from>
    <xdr:to>
      <xdr:col>71</xdr:col>
      <xdr:colOff>1</xdr:colOff>
      <xdr:row>96</xdr:row>
      <xdr:rowOff>218660</xdr:rowOff>
    </xdr:to>
    <xdr:sp macro="" textlink="">
      <xdr:nvSpPr>
        <xdr:cNvPr id="386" name="직사각형 385">
          <a:extLst>
            <a:ext uri="{FF2B5EF4-FFF2-40B4-BE49-F238E27FC236}">
              <a16:creationId xmlns:a16="http://schemas.microsoft.com/office/drawing/2014/main" id="{F989CBCC-5759-4A4F-B2E4-2D4B0D57A0BD}"/>
            </a:ext>
          </a:extLst>
        </xdr:cNvPr>
        <xdr:cNvSpPr/>
      </xdr:nvSpPr>
      <xdr:spPr>
        <a:xfrm>
          <a:off x="60349075" y="21000720"/>
          <a:ext cx="4024686" cy="218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66</xdr:col>
      <xdr:colOff>0</xdr:colOff>
      <xdr:row>88</xdr:row>
      <xdr:rowOff>0</xdr:rowOff>
    </xdr:from>
    <xdr:to>
      <xdr:col>71</xdr:col>
      <xdr:colOff>1</xdr:colOff>
      <xdr:row>90</xdr:row>
      <xdr:rowOff>0</xdr:rowOff>
    </xdr:to>
    <xdr:sp macro="" textlink="">
      <xdr:nvSpPr>
        <xdr:cNvPr id="388" name="화살표: 오른쪽 387">
          <a:extLst>
            <a:ext uri="{FF2B5EF4-FFF2-40B4-BE49-F238E27FC236}">
              <a16:creationId xmlns:a16="http://schemas.microsoft.com/office/drawing/2014/main" id="{562959FB-B08A-44A9-8440-21A6ABDCCA0C}"/>
            </a:ext>
          </a:extLst>
        </xdr:cNvPr>
        <xdr:cNvSpPr/>
      </xdr:nvSpPr>
      <xdr:spPr>
        <a:xfrm flipH="1">
          <a:off x="24204706" y="43944988"/>
          <a:ext cx="3361766" cy="448236"/>
        </a:xfrm>
        <a:prstGeom prst="rightArrow">
          <a:avLst/>
        </a:prstGeom>
        <a:solidFill>
          <a:schemeClr val="bg1">
            <a:lumMod val="95000"/>
          </a:schemeClr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63</xdr:col>
      <xdr:colOff>489235</xdr:colOff>
      <xdr:row>12</xdr:row>
      <xdr:rowOff>13252</xdr:rowOff>
    </xdr:from>
    <xdr:to>
      <xdr:col>64</xdr:col>
      <xdr:colOff>0</xdr:colOff>
      <xdr:row>15</xdr:row>
      <xdr:rowOff>218660</xdr:rowOff>
    </xdr:to>
    <xdr:sp macro="" textlink="">
      <xdr:nvSpPr>
        <xdr:cNvPr id="389" name="직사각형 388">
          <a:extLst>
            <a:ext uri="{FF2B5EF4-FFF2-40B4-BE49-F238E27FC236}">
              <a16:creationId xmlns:a16="http://schemas.microsoft.com/office/drawing/2014/main" id="{91A7CF16-64BB-4BD2-9284-C6C0328552AF}"/>
            </a:ext>
          </a:extLst>
        </xdr:cNvPr>
        <xdr:cNvSpPr/>
      </xdr:nvSpPr>
      <xdr:spPr>
        <a:xfrm>
          <a:off x="59498515" y="2817412"/>
          <a:ext cx="181325" cy="875968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63</xdr:col>
      <xdr:colOff>489235</xdr:colOff>
      <xdr:row>18</xdr:row>
      <xdr:rowOff>0</xdr:rowOff>
    </xdr:from>
    <xdr:to>
      <xdr:col>64</xdr:col>
      <xdr:colOff>0</xdr:colOff>
      <xdr:row>21</xdr:row>
      <xdr:rowOff>218660</xdr:rowOff>
    </xdr:to>
    <xdr:sp macro="" textlink="">
      <xdr:nvSpPr>
        <xdr:cNvPr id="390" name="직사각형 389">
          <a:extLst>
            <a:ext uri="{FF2B5EF4-FFF2-40B4-BE49-F238E27FC236}">
              <a16:creationId xmlns:a16="http://schemas.microsoft.com/office/drawing/2014/main" id="{5329E85C-D681-4C1A-A0D1-D13E5D3A096A}"/>
            </a:ext>
          </a:extLst>
        </xdr:cNvPr>
        <xdr:cNvSpPr/>
      </xdr:nvSpPr>
      <xdr:spPr>
        <a:xfrm>
          <a:off x="59498515" y="4114800"/>
          <a:ext cx="181325" cy="85874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0</xdr:colOff>
      <xdr:row>12</xdr:row>
      <xdr:rowOff>13253</xdr:rowOff>
    </xdr:from>
    <xdr:to>
      <xdr:col>72</xdr:col>
      <xdr:colOff>180000</xdr:colOff>
      <xdr:row>16</xdr:row>
      <xdr:rowOff>1</xdr:rowOff>
    </xdr:to>
    <xdr:sp macro="" textlink="">
      <xdr:nvSpPr>
        <xdr:cNvPr id="391" name="직사각형 390">
          <a:extLst>
            <a:ext uri="{FF2B5EF4-FFF2-40B4-BE49-F238E27FC236}">
              <a16:creationId xmlns:a16="http://schemas.microsoft.com/office/drawing/2014/main" id="{5EC568C9-2037-4407-9165-DBDDB3337993}"/>
            </a:ext>
          </a:extLst>
        </xdr:cNvPr>
        <xdr:cNvSpPr/>
      </xdr:nvSpPr>
      <xdr:spPr>
        <a:xfrm>
          <a:off x="65044320" y="2817413"/>
          <a:ext cx="180000" cy="870668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0</xdr:colOff>
      <xdr:row>18</xdr:row>
      <xdr:rowOff>1</xdr:rowOff>
    </xdr:from>
    <xdr:to>
      <xdr:col>72</xdr:col>
      <xdr:colOff>180000</xdr:colOff>
      <xdr:row>22</xdr:row>
      <xdr:rowOff>0</xdr:rowOff>
    </xdr:to>
    <xdr:sp macro="" textlink="">
      <xdr:nvSpPr>
        <xdr:cNvPr id="392" name="직사각형 391">
          <a:extLst>
            <a:ext uri="{FF2B5EF4-FFF2-40B4-BE49-F238E27FC236}">
              <a16:creationId xmlns:a16="http://schemas.microsoft.com/office/drawing/2014/main" id="{1F06B8C6-69CA-4699-97FA-399A6E181917}"/>
            </a:ext>
          </a:extLst>
        </xdr:cNvPr>
        <xdr:cNvSpPr/>
      </xdr:nvSpPr>
      <xdr:spPr>
        <a:xfrm>
          <a:off x="65044320" y="4114801"/>
          <a:ext cx="180000" cy="853439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71</xdr:col>
      <xdr:colOff>489235</xdr:colOff>
      <xdr:row>42</xdr:row>
      <xdr:rowOff>5458</xdr:rowOff>
    </xdr:from>
    <xdr:to>
      <xdr:col>71</xdr:col>
      <xdr:colOff>674913</xdr:colOff>
      <xdr:row>46</xdr:row>
      <xdr:rowOff>0</xdr:rowOff>
    </xdr:to>
    <xdr:sp macro="" textlink="">
      <xdr:nvSpPr>
        <xdr:cNvPr id="393" name="직사각형 392">
          <a:extLst>
            <a:ext uri="{FF2B5EF4-FFF2-40B4-BE49-F238E27FC236}">
              <a16:creationId xmlns:a16="http://schemas.microsoft.com/office/drawing/2014/main" id="{C99EFF84-C3B0-4AAB-A78A-C1C20BAE7B76}"/>
            </a:ext>
          </a:extLst>
        </xdr:cNvPr>
        <xdr:cNvSpPr/>
      </xdr:nvSpPr>
      <xdr:spPr>
        <a:xfrm>
          <a:off x="28160721" y="32695258"/>
          <a:ext cx="185678" cy="865399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80</xdr:col>
      <xdr:colOff>0</xdr:colOff>
      <xdr:row>36</xdr:row>
      <xdr:rowOff>9050</xdr:rowOff>
    </xdr:from>
    <xdr:to>
      <xdr:col>80</xdr:col>
      <xdr:colOff>179160</xdr:colOff>
      <xdr:row>40</xdr:row>
      <xdr:rowOff>4763</xdr:rowOff>
    </xdr:to>
    <xdr:sp macro="" textlink="">
      <xdr:nvSpPr>
        <xdr:cNvPr id="394" name="직사각형 393">
          <a:extLst>
            <a:ext uri="{FF2B5EF4-FFF2-40B4-BE49-F238E27FC236}">
              <a16:creationId xmlns:a16="http://schemas.microsoft.com/office/drawing/2014/main" id="{9DCB253C-4756-478E-A946-364E5281FF8C}"/>
            </a:ext>
          </a:extLst>
        </xdr:cNvPr>
        <xdr:cNvSpPr/>
      </xdr:nvSpPr>
      <xdr:spPr>
        <a:xfrm>
          <a:off x="33745714" y="31392564"/>
          <a:ext cx="179160" cy="86657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80</xdr:col>
      <xdr:colOff>0</xdr:colOff>
      <xdr:row>42</xdr:row>
      <xdr:rowOff>4763</xdr:rowOff>
    </xdr:from>
    <xdr:to>
      <xdr:col>80</xdr:col>
      <xdr:colOff>179160</xdr:colOff>
      <xdr:row>46</xdr:row>
      <xdr:rowOff>4762</xdr:rowOff>
    </xdr:to>
    <xdr:sp macro="" textlink="">
      <xdr:nvSpPr>
        <xdr:cNvPr id="395" name="직사각형 394">
          <a:extLst>
            <a:ext uri="{FF2B5EF4-FFF2-40B4-BE49-F238E27FC236}">
              <a16:creationId xmlns:a16="http://schemas.microsoft.com/office/drawing/2014/main" id="{6EB55229-4C7D-456A-8AAC-0E72CED16DEB}"/>
            </a:ext>
          </a:extLst>
        </xdr:cNvPr>
        <xdr:cNvSpPr/>
      </xdr:nvSpPr>
      <xdr:spPr>
        <a:xfrm>
          <a:off x="33745714" y="32694563"/>
          <a:ext cx="179160" cy="870856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63</xdr:col>
      <xdr:colOff>1</xdr:colOff>
      <xdr:row>84</xdr:row>
      <xdr:rowOff>0</xdr:rowOff>
    </xdr:from>
    <xdr:to>
      <xdr:col>64</xdr:col>
      <xdr:colOff>1</xdr:colOff>
      <xdr:row>85</xdr:row>
      <xdr:rowOff>0</xdr:rowOff>
    </xdr:to>
    <xdr:sp macro="" textlink="">
      <xdr:nvSpPr>
        <xdr:cNvPr id="400" name="직사각형 399">
          <a:extLst>
            <a:ext uri="{FF2B5EF4-FFF2-40B4-BE49-F238E27FC236}">
              <a16:creationId xmlns:a16="http://schemas.microsoft.com/office/drawing/2014/main" id="{FFF3055C-22F5-4A05-B7D5-7ACC3075BD74}"/>
            </a:ext>
          </a:extLst>
        </xdr:cNvPr>
        <xdr:cNvSpPr/>
      </xdr:nvSpPr>
      <xdr:spPr>
        <a:xfrm>
          <a:off x="59009281" y="18440400"/>
          <a:ext cx="670560" cy="21336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63</xdr:col>
      <xdr:colOff>1</xdr:colOff>
      <xdr:row>93</xdr:row>
      <xdr:rowOff>-1</xdr:rowOff>
    </xdr:from>
    <xdr:to>
      <xdr:col>64</xdr:col>
      <xdr:colOff>1</xdr:colOff>
      <xdr:row>94</xdr:row>
      <xdr:rowOff>0</xdr:rowOff>
    </xdr:to>
    <xdr:sp macro="" textlink="">
      <xdr:nvSpPr>
        <xdr:cNvPr id="401" name="직사각형 400">
          <a:extLst>
            <a:ext uri="{FF2B5EF4-FFF2-40B4-BE49-F238E27FC236}">
              <a16:creationId xmlns:a16="http://schemas.microsoft.com/office/drawing/2014/main" id="{627D2D7F-BF4F-4581-A795-464624AF4E26}"/>
            </a:ext>
          </a:extLst>
        </xdr:cNvPr>
        <xdr:cNvSpPr/>
      </xdr:nvSpPr>
      <xdr:spPr>
        <a:xfrm>
          <a:off x="59009281" y="20360639"/>
          <a:ext cx="670560" cy="213361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0</xdr:colOff>
      <xdr:row>84</xdr:row>
      <xdr:rowOff>0</xdr:rowOff>
    </xdr:from>
    <xdr:to>
      <xdr:col>73</xdr:col>
      <xdr:colOff>1</xdr:colOff>
      <xdr:row>85</xdr:row>
      <xdr:rowOff>0</xdr:rowOff>
    </xdr:to>
    <xdr:sp macro="" textlink="">
      <xdr:nvSpPr>
        <xdr:cNvPr id="402" name="직사각형 401">
          <a:extLst>
            <a:ext uri="{FF2B5EF4-FFF2-40B4-BE49-F238E27FC236}">
              <a16:creationId xmlns:a16="http://schemas.microsoft.com/office/drawing/2014/main" id="{93AE8100-8287-49EE-8BC9-66FD036AA0F5}"/>
            </a:ext>
          </a:extLst>
        </xdr:cNvPr>
        <xdr:cNvSpPr/>
      </xdr:nvSpPr>
      <xdr:spPr>
        <a:xfrm>
          <a:off x="65044320" y="18440400"/>
          <a:ext cx="670561" cy="21336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0</xdr:colOff>
      <xdr:row>93</xdr:row>
      <xdr:rowOff>-1</xdr:rowOff>
    </xdr:from>
    <xdr:to>
      <xdr:col>73</xdr:col>
      <xdr:colOff>1</xdr:colOff>
      <xdr:row>94</xdr:row>
      <xdr:rowOff>0</xdr:rowOff>
    </xdr:to>
    <xdr:sp macro="" textlink="">
      <xdr:nvSpPr>
        <xdr:cNvPr id="403" name="직사각형 402">
          <a:extLst>
            <a:ext uri="{FF2B5EF4-FFF2-40B4-BE49-F238E27FC236}">
              <a16:creationId xmlns:a16="http://schemas.microsoft.com/office/drawing/2014/main" id="{38ACD313-BA61-4F08-9D19-428F51C847E0}"/>
            </a:ext>
          </a:extLst>
        </xdr:cNvPr>
        <xdr:cNvSpPr/>
      </xdr:nvSpPr>
      <xdr:spPr>
        <a:xfrm>
          <a:off x="65044320" y="20360639"/>
          <a:ext cx="670561" cy="213361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71</xdr:col>
      <xdr:colOff>489235</xdr:colOff>
      <xdr:row>36</xdr:row>
      <xdr:rowOff>0</xdr:rowOff>
    </xdr:from>
    <xdr:to>
      <xdr:col>71</xdr:col>
      <xdr:colOff>674913</xdr:colOff>
      <xdr:row>39</xdr:row>
      <xdr:rowOff>217046</xdr:rowOff>
    </xdr:to>
    <xdr:sp macro="" textlink="">
      <xdr:nvSpPr>
        <xdr:cNvPr id="404" name="직사각형 403">
          <a:extLst>
            <a:ext uri="{FF2B5EF4-FFF2-40B4-BE49-F238E27FC236}">
              <a16:creationId xmlns:a16="http://schemas.microsoft.com/office/drawing/2014/main" id="{C4349771-FBA1-4B10-AABD-6633173102E5}"/>
            </a:ext>
          </a:extLst>
        </xdr:cNvPr>
        <xdr:cNvSpPr/>
      </xdr:nvSpPr>
      <xdr:spPr>
        <a:xfrm>
          <a:off x="28160721" y="31383514"/>
          <a:ext cx="185678" cy="870189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0</xdr:colOff>
      <xdr:row>129</xdr:row>
      <xdr:rowOff>1</xdr:rowOff>
    </xdr:from>
    <xdr:to>
      <xdr:col>72</xdr:col>
      <xdr:colOff>524</xdr:colOff>
      <xdr:row>130</xdr:row>
      <xdr:rowOff>0</xdr:rowOff>
    </xdr:to>
    <xdr:sp macro="" textlink="">
      <xdr:nvSpPr>
        <xdr:cNvPr id="405" name="직사각형 404">
          <a:extLst>
            <a:ext uri="{FF2B5EF4-FFF2-40B4-BE49-F238E27FC236}">
              <a16:creationId xmlns:a16="http://schemas.microsoft.com/office/drawing/2014/main" id="{8DEF5B67-4385-46FF-9726-D2BD1BF12DDB}"/>
            </a:ext>
          </a:extLst>
        </xdr:cNvPr>
        <xdr:cNvSpPr/>
      </xdr:nvSpPr>
      <xdr:spPr>
        <a:xfrm>
          <a:off x="79796640" y="4968241"/>
          <a:ext cx="5365004" cy="213359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0</xdr:colOff>
      <xdr:row>128</xdr:row>
      <xdr:rowOff>1919</xdr:rowOff>
    </xdr:from>
    <xdr:to>
      <xdr:col>72</xdr:col>
      <xdr:colOff>524</xdr:colOff>
      <xdr:row>129</xdr:row>
      <xdr:rowOff>0</xdr:rowOff>
    </xdr:to>
    <xdr:sp macro="" textlink="">
      <xdr:nvSpPr>
        <xdr:cNvPr id="406" name="직사각형 405">
          <a:extLst>
            <a:ext uri="{FF2B5EF4-FFF2-40B4-BE49-F238E27FC236}">
              <a16:creationId xmlns:a16="http://schemas.microsoft.com/office/drawing/2014/main" id="{FAC40169-B72A-49C7-A4D4-F27204213972}"/>
            </a:ext>
          </a:extLst>
        </xdr:cNvPr>
        <xdr:cNvSpPr/>
      </xdr:nvSpPr>
      <xdr:spPr>
        <a:xfrm>
          <a:off x="79796640" y="4756799"/>
          <a:ext cx="5365004" cy="211441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0</xdr:colOff>
      <xdr:row>119</xdr:row>
      <xdr:rowOff>0</xdr:rowOff>
    </xdr:from>
    <xdr:to>
      <xdr:col>72</xdr:col>
      <xdr:colOff>524</xdr:colOff>
      <xdr:row>120</xdr:row>
      <xdr:rowOff>0</xdr:rowOff>
    </xdr:to>
    <xdr:sp macro="" textlink="">
      <xdr:nvSpPr>
        <xdr:cNvPr id="407" name="직사각형 406">
          <a:extLst>
            <a:ext uri="{FF2B5EF4-FFF2-40B4-BE49-F238E27FC236}">
              <a16:creationId xmlns:a16="http://schemas.microsoft.com/office/drawing/2014/main" id="{ABB0D0ED-D45E-4AB5-9FED-509E6969B67F}"/>
            </a:ext>
          </a:extLst>
        </xdr:cNvPr>
        <xdr:cNvSpPr/>
      </xdr:nvSpPr>
      <xdr:spPr>
        <a:xfrm>
          <a:off x="79796640" y="2804160"/>
          <a:ext cx="5365004" cy="24384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0</xdr:colOff>
      <xdr:row>118</xdr:row>
      <xdr:rowOff>1919</xdr:rowOff>
    </xdr:from>
    <xdr:to>
      <xdr:col>72</xdr:col>
      <xdr:colOff>524</xdr:colOff>
      <xdr:row>119</xdr:row>
      <xdr:rowOff>0</xdr:rowOff>
    </xdr:to>
    <xdr:sp macro="" textlink="">
      <xdr:nvSpPr>
        <xdr:cNvPr id="408" name="직사각형 407">
          <a:extLst>
            <a:ext uri="{FF2B5EF4-FFF2-40B4-BE49-F238E27FC236}">
              <a16:creationId xmlns:a16="http://schemas.microsoft.com/office/drawing/2014/main" id="{B3FAC83D-86F9-44D2-A790-5EEF8F8E6674}"/>
            </a:ext>
          </a:extLst>
        </xdr:cNvPr>
        <xdr:cNvSpPr/>
      </xdr:nvSpPr>
      <xdr:spPr>
        <a:xfrm>
          <a:off x="79796640" y="2562239"/>
          <a:ext cx="5365004" cy="241921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0</xdr:colOff>
      <xdr:row>114</xdr:row>
      <xdr:rowOff>220579</xdr:rowOff>
    </xdr:from>
    <xdr:to>
      <xdr:col>72</xdr:col>
      <xdr:colOff>524</xdr:colOff>
      <xdr:row>117</xdr:row>
      <xdr:rowOff>218660</xdr:rowOff>
    </xdr:to>
    <xdr:sp macro="" textlink="">
      <xdr:nvSpPr>
        <xdr:cNvPr id="409" name="직사각형 408">
          <a:extLst>
            <a:ext uri="{FF2B5EF4-FFF2-40B4-BE49-F238E27FC236}">
              <a16:creationId xmlns:a16="http://schemas.microsoft.com/office/drawing/2014/main" id="{87236B88-5523-47F1-9864-6C54CDC050BF}"/>
            </a:ext>
          </a:extLst>
        </xdr:cNvPr>
        <xdr:cNvSpPr/>
      </xdr:nvSpPr>
      <xdr:spPr>
        <a:xfrm>
          <a:off x="79796640" y="1836019"/>
          <a:ext cx="5365004" cy="699121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669235</xdr:colOff>
      <xdr:row>115</xdr:row>
      <xdr:rowOff>220579</xdr:rowOff>
    </xdr:from>
    <xdr:to>
      <xdr:col>71</xdr:col>
      <xdr:colOff>1</xdr:colOff>
      <xdr:row>116</xdr:row>
      <xdr:rowOff>218660</xdr:rowOff>
    </xdr:to>
    <xdr:sp macro="" textlink="">
      <xdr:nvSpPr>
        <xdr:cNvPr id="410" name="직사각형 409">
          <a:extLst>
            <a:ext uri="{FF2B5EF4-FFF2-40B4-BE49-F238E27FC236}">
              <a16:creationId xmlns:a16="http://schemas.microsoft.com/office/drawing/2014/main" id="{FA12D128-7A2E-4E85-BC80-9085AD9CA78B}"/>
            </a:ext>
          </a:extLst>
        </xdr:cNvPr>
        <xdr:cNvSpPr/>
      </xdr:nvSpPr>
      <xdr:spPr>
        <a:xfrm>
          <a:off x="80465875" y="2049379"/>
          <a:ext cx="4024686" cy="24192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0</xdr:colOff>
      <xdr:row>130</xdr:row>
      <xdr:rowOff>0</xdr:rowOff>
    </xdr:from>
    <xdr:to>
      <xdr:col>72</xdr:col>
      <xdr:colOff>524</xdr:colOff>
      <xdr:row>132</xdr:row>
      <xdr:rowOff>218660</xdr:rowOff>
    </xdr:to>
    <xdr:sp macro="" textlink="">
      <xdr:nvSpPr>
        <xdr:cNvPr id="411" name="직사각형 410">
          <a:extLst>
            <a:ext uri="{FF2B5EF4-FFF2-40B4-BE49-F238E27FC236}">
              <a16:creationId xmlns:a16="http://schemas.microsoft.com/office/drawing/2014/main" id="{29BA73BB-707C-4D8F-851C-B6008206E949}"/>
            </a:ext>
          </a:extLst>
        </xdr:cNvPr>
        <xdr:cNvSpPr/>
      </xdr:nvSpPr>
      <xdr:spPr>
        <a:xfrm>
          <a:off x="79796640" y="5181600"/>
          <a:ext cx="5365004" cy="70634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669235</xdr:colOff>
      <xdr:row>131</xdr:row>
      <xdr:rowOff>0</xdr:rowOff>
    </xdr:from>
    <xdr:to>
      <xdr:col>71</xdr:col>
      <xdr:colOff>1</xdr:colOff>
      <xdr:row>131</xdr:row>
      <xdr:rowOff>218660</xdr:rowOff>
    </xdr:to>
    <xdr:sp macro="" textlink="">
      <xdr:nvSpPr>
        <xdr:cNvPr id="412" name="직사각형 411">
          <a:extLst>
            <a:ext uri="{FF2B5EF4-FFF2-40B4-BE49-F238E27FC236}">
              <a16:creationId xmlns:a16="http://schemas.microsoft.com/office/drawing/2014/main" id="{7AEF6DE6-C5B8-4318-8C02-FE47DC8216EF}"/>
            </a:ext>
          </a:extLst>
        </xdr:cNvPr>
        <xdr:cNvSpPr/>
      </xdr:nvSpPr>
      <xdr:spPr>
        <a:xfrm>
          <a:off x="80465875" y="5425440"/>
          <a:ext cx="4024686" cy="218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74</xdr:col>
      <xdr:colOff>0</xdr:colOff>
      <xdr:row>120</xdr:row>
      <xdr:rowOff>217578</xdr:rowOff>
    </xdr:from>
    <xdr:to>
      <xdr:col>77</xdr:col>
      <xdr:colOff>673450</xdr:colOff>
      <xdr:row>127</xdr:row>
      <xdr:rowOff>0</xdr:rowOff>
    </xdr:to>
    <xdr:sp macro="" textlink="">
      <xdr:nvSpPr>
        <xdr:cNvPr id="413" name="사각형: 둥근 모서리 412">
          <a:extLst>
            <a:ext uri="{FF2B5EF4-FFF2-40B4-BE49-F238E27FC236}">
              <a16:creationId xmlns:a16="http://schemas.microsoft.com/office/drawing/2014/main" id="{F8EF4AAD-2D70-4873-8E7E-881412D3E33A}"/>
            </a:ext>
          </a:extLst>
        </xdr:cNvPr>
        <xdr:cNvSpPr/>
      </xdr:nvSpPr>
      <xdr:spPr>
        <a:xfrm>
          <a:off x="49943657" y="26571892"/>
          <a:ext cx="2698193" cy="1306422"/>
        </a:xfrm>
        <a:prstGeom prst="roundRect">
          <a:avLst/>
        </a:prstGeom>
        <a:ln w="57150">
          <a:solidFill>
            <a:schemeClr val="tx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0</xdr:colOff>
      <xdr:row>138</xdr:row>
      <xdr:rowOff>220579</xdr:rowOff>
    </xdr:from>
    <xdr:to>
      <xdr:col>72</xdr:col>
      <xdr:colOff>524</xdr:colOff>
      <xdr:row>141</xdr:row>
      <xdr:rowOff>218660</xdr:rowOff>
    </xdr:to>
    <xdr:sp macro="" textlink="">
      <xdr:nvSpPr>
        <xdr:cNvPr id="418" name="직사각형 417">
          <a:extLst>
            <a:ext uri="{FF2B5EF4-FFF2-40B4-BE49-F238E27FC236}">
              <a16:creationId xmlns:a16="http://schemas.microsoft.com/office/drawing/2014/main" id="{837AE2F7-386A-45BB-AC64-244A58CAF213}"/>
            </a:ext>
          </a:extLst>
        </xdr:cNvPr>
        <xdr:cNvSpPr/>
      </xdr:nvSpPr>
      <xdr:spPr>
        <a:xfrm>
          <a:off x="79796640" y="7230979"/>
          <a:ext cx="5365004" cy="638161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669235</xdr:colOff>
      <xdr:row>139</xdr:row>
      <xdr:rowOff>220579</xdr:rowOff>
    </xdr:from>
    <xdr:to>
      <xdr:col>71</xdr:col>
      <xdr:colOff>1</xdr:colOff>
      <xdr:row>140</xdr:row>
      <xdr:rowOff>218660</xdr:rowOff>
    </xdr:to>
    <xdr:sp macro="" textlink="">
      <xdr:nvSpPr>
        <xdr:cNvPr id="419" name="직사각형 418">
          <a:extLst>
            <a:ext uri="{FF2B5EF4-FFF2-40B4-BE49-F238E27FC236}">
              <a16:creationId xmlns:a16="http://schemas.microsoft.com/office/drawing/2014/main" id="{0EE02911-D3E5-4C7B-AE71-2DCA85733C6B}"/>
            </a:ext>
          </a:extLst>
        </xdr:cNvPr>
        <xdr:cNvSpPr/>
      </xdr:nvSpPr>
      <xdr:spPr>
        <a:xfrm>
          <a:off x="80465875" y="7444339"/>
          <a:ext cx="4024686" cy="21144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0</xdr:colOff>
      <xdr:row>154</xdr:row>
      <xdr:rowOff>0</xdr:rowOff>
    </xdr:from>
    <xdr:to>
      <xdr:col>72</xdr:col>
      <xdr:colOff>524</xdr:colOff>
      <xdr:row>156</xdr:row>
      <xdr:rowOff>218660</xdr:rowOff>
    </xdr:to>
    <xdr:sp macro="" textlink="">
      <xdr:nvSpPr>
        <xdr:cNvPr id="420" name="직사각형 419">
          <a:extLst>
            <a:ext uri="{FF2B5EF4-FFF2-40B4-BE49-F238E27FC236}">
              <a16:creationId xmlns:a16="http://schemas.microsoft.com/office/drawing/2014/main" id="{F6FD0FD1-1D74-4174-B441-1B583FBDDB1B}"/>
            </a:ext>
          </a:extLst>
        </xdr:cNvPr>
        <xdr:cNvSpPr/>
      </xdr:nvSpPr>
      <xdr:spPr>
        <a:xfrm>
          <a:off x="79796640" y="10424160"/>
          <a:ext cx="5365004" cy="64538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669235</xdr:colOff>
      <xdr:row>155</xdr:row>
      <xdr:rowOff>0</xdr:rowOff>
    </xdr:from>
    <xdr:to>
      <xdr:col>71</xdr:col>
      <xdr:colOff>1</xdr:colOff>
      <xdr:row>155</xdr:row>
      <xdr:rowOff>218660</xdr:rowOff>
    </xdr:to>
    <xdr:sp macro="" textlink="">
      <xdr:nvSpPr>
        <xdr:cNvPr id="421" name="직사각형 420">
          <a:extLst>
            <a:ext uri="{FF2B5EF4-FFF2-40B4-BE49-F238E27FC236}">
              <a16:creationId xmlns:a16="http://schemas.microsoft.com/office/drawing/2014/main" id="{932893DF-87BE-4FDF-8D5E-10803D55CB5A}"/>
            </a:ext>
          </a:extLst>
        </xdr:cNvPr>
        <xdr:cNvSpPr/>
      </xdr:nvSpPr>
      <xdr:spPr>
        <a:xfrm>
          <a:off x="80465875" y="10637520"/>
          <a:ext cx="4024686" cy="218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0</xdr:colOff>
      <xdr:row>162</xdr:row>
      <xdr:rowOff>220579</xdr:rowOff>
    </xdr:from>
    <xdr:to>
      <xdr:col>72</xdr:col>
      <xdr:colOff>524</xdr:colOff>
      <xdr:row>165</xdr:row>
      <xdr:rowOff>218660</xdr:rowOff>
    </xdr:to>
    <xdr:sp macro="" textlink="">
      <xdr:nvSpPr>
        <xdr:cNvPr id="428" name="직사각형 427">
          <a:extLst>
            <a:ext uri="{FF2B5EF4-FFF2-40B4-BE49-F238E27FC236}">
              <a16:creationId xmlns:a16="http://schemas.microsoft.com/office/drawing/2014/main" id="{5449737E-6046-4E9A-824C-BF7FA7989563}"/>
            </a:ext>
          </a:extLst>
        </xdr:cNvPr>
        <xdr:cNvSpPr/>
      </xdr:nvSpPr>
      <xdr:spPr>
        <a:xfrm>
          <a:off x="79796640" y="12412579"/>
          <a:ext cx="5365004" cy="638161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669235</xdr:colOff>
      <xdr:row>163</xdr:row>
      <xdr:rowOff>220579</xdr:rowOff>
    </xdr:from>
    <xdr:to>
      <xdr:col>71</xdr:col>
      <xdr:colOff>1</xdr:colOff>
      <xdr:row>164</xdr:row>
      <xdr:rowOff>218660</xdr:rowOff>
    </xdr:to>
    <xdr:sp macro="" textlink="">
      <xdr:nvSpPr>
        <xdr:cNvPr id="429" name="직사각형 428">
          <a:extLst>
            <a:ext uri="{FF2B5EF4-FFF2-40B4-BE49-F238E27FC236}">
              <a16:creationId xmlns:a16="http://schemas.microsoft.com/office/drawing/2014/main" id="{F542AC56-9022-4931-92C8-FF05EB95438A}"/>
            </a:ext>
          </a:extLst>
        </xdr:cNvPr>
        <xdr:cNvSpPr/>
      </xdr:nvSpPr>
      <xdr:spPr>
        <a:xfrm>
          <a:off x="80465875" y="12625939"/>
          <a:ext cx="4024686" cy="21144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0</xdr:colOff>
      <xdr:row>178</xdr:row>
      <xdr:rowOff>0</xdr:rowOff>
    </xdr:from>
    <xdr:to>
      <xdr:col>72</xdr:col>
      <xdr:colOff>524</xdr:colOff>
      <xdr:row>180</xdr:row>
      <xdr:rowOff>218660</xdr:rowOff>
    </xdr:to>
    <xdr:sp macro="" textlink="">
      <xdr:nvSpPr>
        <xdr:cNvPr id="430" name="직사각형 429">
          <a:extLst>
            <a:ext uri="{FF2B5EF4-FFF2-40B4-BE49-F238E27FC236}">
              <a16:creationId xmlns:a16="http://schemas.microsoft.com/office/drawing/2014/main" id="{D699452A-DC3B-48C7-9D40-1081DFD9E365}"/>
            </a:ext>
          </a:extLst>
        </xdr:cNvPr>
        <xdr:cNvSpPr/>
      </xdr:nvSpPr>
      <xdr:spPr>
        <a:xfrm>
          <a:off x="79796640" y="15605760"/>
          <a:ext cx="5365004" cy="64538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669235</xdr:colOff>
      <xdr:row>179</xdr:row>
      <xdr:rowOff>0</xdr:rowOff>
    </xdr:from>
    <xdr:to>
      <xdr:col>71</xdr:col>
      <xdr:colOff>1</xdr:colOff>
      <xdr:row>179</xdr:row>
      <xdr:rowOff>218660</xdr:rowOff>
    </xdr:to>
    <xdr:sp macro="" textlink="">
      <xdr:nvSpPr>
        <xdr:cNvPr id="431" name="직사각형 430">
          <a:extLst>
            <a:ext uri="{FF2B5EF4-FFF2-40B4-BE49-F238E27FC236}">
              <a16:creationId xmlns:a16="http://schemas.microsoft.com/office/drawing/2014/main" id="{1B6F489A-E862-4127-9857-12FB74EE2BBD}"/>
            </a:ext>
          </a:extLst>
        </xdr:cNvPr>
        <xdr:cNvSpPr/>
      </xdr:nvSpPr>
      <xdr:spPr>
        <a:xfrm>
          <a:off x="80465875" y="15819120"/>
          <a:ext cx="4024686" cy="218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0</xdr:colOff>
      <xdr:row>201</xdr:row>
      <xdr:rowOff>1</xdr:rowOff>
    </xdr:from>
    <xdr:to>
      <xdr:col>72</xdr:col>
      <xdr:colOff>524</xdr:colOff>
      <xdr:row>202</xdr:row>
      <xdr:rowOff>0</xdr:rowOff>
    </xdr:to>
    <xdr:sp macro="" textlink="">
      <xdr:nvSpPr>
        <xdr:cNvPr id="433" name="직사각형 432">
          <a:extLst>
            <a:ext uri="{FF2B5EF4-FFF2-40B4-BE49-F238E27FC236}">
              <a16:creationId xmlns:a16="http://schemas.microsoft.com/office/drawing/2014/main" id="{ADB62494-AF3D-4C01-8180-CD5E0FF2DFA7}"/>
            </a:ext>
          </a:extLst>
        </xdr:cNvPr>
        <xdr:cNvSpPr/>
      </xdr:nvSpPr>
      <xdr:spPr>
        <a:xfrm>
          <a:off x="79796640" y="20574001"/>
          <a:ext cx="5365004" cy="213359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0</xdr:colOff>
      <xdr:row>200</xdr:row>
      <xdr:rowOff>1919</xdr:rowOff>
    </xdr:from>
    <xdr:to>
      <xdr:col>72</xdr:col>
      <xdr:colOff>524</xdr:colOff>
      <xdr:row>201</xdr:row>
      <xdr:rowOff>0</xdr:rowOff>
    </xdr:to>
    <xdr:sp macro="" textlink="">
      <xdr:nvSpPr>
        <xdr:cNvPr id="434" name="직사각형 433">
          <a:extLst>
            <a:ext uri="{FF2B5EF4-FFF2-40B4-BE49-F238E27FC236}">
              <a16:creationId xmlns:a16="http://schemas.microsoft.com/office/drawing/2014/main" id="{6057DB73-BF71-4EEC-83DA-01244423C68D}"/>
            </a:ext>
          </a:extLst>
        </xdr:cNvPr>
        <xdr:cNvSpPr/>
      </xdr:nvSpPr>
      <xdr:spPr>
        <a:xfrm>
          <a:off x="79796640" y="20362559"/>
          <a:ext cx="5365004" cy="211441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0</xdr:colOff>
      <xdr:row>191</xdr:row>
      <xdr:rowOff>0</xdr:rowOff>
    </xdr:from>
    <xdr:to>
      <xdr:col>72</xdr:col>
      <xdr:colOff>524</xdr:colOff>
      <xdr:row>192</xdr:row>
      <xdr:rowOff>0</xdr:rowOff>
    </xdr:to>
    <xdr:sp macro="" textlink="">
      <xdr:nvSpPr>
        <xdr:cNvPr id="435" name="직사각형 434">
          <a:extLst>
            <a:ext uri="{FF2B5EF4-FFF2-40B4-BE49-F238E27FC236}">
              <a16:creationId xmlns:a16="http://schemas.microsoft.com/office/drawing/2014/main" id="{621DB42E-AD1E-4E00-9CC0-42C79A2DFDCB}"/>
            </a:ext>
          </a:extLst>
        </xdr:cNvPr>
        <xdr:cNvSpPr/>
      </xdr:nvSpPr>
      <xdr:spPr>
        <a:xfrm>
          <a:off x="79796640" y="18440400"/>
          <a:ext cx="5365004" cy="21336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0</xdr:colOff>
      <xdr:row>190</xdr:row>
      <xdr:rowOff>1919</xdr:rowOff>
    </xdr:from>
    <xdr:to>
      <xdr:col>72</xdr:col>
      <xdr:colOff>524</xdr:colOff>
      <xdr:row>191</xdr:row>
      <xdr:rowOff>0</xdr:rowOff>
    </xdr:to>
    <xdr:sp macro="" textlink="">
      <xdr:nvSpPr>
        <xdr:cNvPr id="436" name="직사각형 435">
          <a:extLst>
            <a:ext uri="{FF2B5EF4-FFF2-40B4-BE49-F238E27FC236}">
              <a16:creationId xmlns:a16="http://schemas.microsoft.com/office/drawing/2014/main" id="{23A82C04-8835-4280-8629-860EC45560A9}"/>
            </a:ext>
          </a:extLst>
        </xdr:cNvPr>
        <xdr:cNvSpPr/>
      </xdr:nvSpPr>
      <xdr:spPr>
        <a:xfrm>
          <a:off x="79796640" y="18228959"/>
          <a:ext cx="5365004" cy="211441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0</xdr:colOff>
      <xdr:row>186</xdr:row>
      <xdr:rowOff>220579</xdr:rowOff>
    </xdr:from>
    <xdr:to>
      <xdr:col>72</xdr:col>
      <xdr:colOff>524</xdr:colOff>
      <xdr:row>189</xdr:row>
      <xdr:rowOff>218660</xdr:rowOff>
    </xdr:to>
    <xdr:sp macro="" textlink="">
      <xdr:nvSpPr>
        <xdr:cNvPr id="437" name="직사각형 436">
          <a:extLst>
            <a:ext uri="{FF2B5EF4-FFF2-40B4-BE49-F238E27FC236}">
              <a16:creationId xmlns:a16="http://schemas.microsoft.com/office/drawing/2014/main" id="{3ACC03C6-75A6-42C8-BD61-09467010708C}"/>
            </a:ext>
          </a:extLst>
        </xdr:cNvPr>
        <xdr:cNvSpPr/>
      </xdr:nvSpPr>
      <xdr:spPr>
        <a:xfrm>
          <a:off x="79796640" y="17594179"/>
          <a:ext cx="5365004" cy="638161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669235</xdr:colOff>
      <xdr:row>187</xdr:row>
      <xdr:rowOff>220579</xdr:rowOff>
    </xdr:from>
    <xdr:to>
      <xdr:col>71</xdr:col>
      <xdr:colOff>1</xdr:colOff>
      <xdr:row>188</xdr:row>
      <xdr:rowOff>218660</xdr:rowOff>
    </xdr:to>
    <xdr:sp macro="" textlink="">
      <xdr:nvSpPr>
        <xdr:cNvPr id="438" name="직사각형 437">
          <a:extLst>
            <a:ext uri="{FF2B5EF4-FFF2-40B4-BE49-F238E27FC236}">
              <a16:creationId xmlns:a16="http://schemas.microsoft.com/office/drawing/2014/main" id="{DCDCF2A3-887B-403D-80DA-EB12D16FA4E8}"/>
            </a:ext>
          </a:extLst>
        </xdr:cNvPr>
        <xdr:cNvSpPr/>
      </xdr:nvSpPr>
      <xdr:spPr>
        <a:xfrm>
          <a:off x="80465875" y="17807539"/>
          <a:ext cx="4024686" cy="21144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0</xdr:colOff>
      <xdr:row>202</xdr:row>
      <xdr:rowOff>0</xdr:rowOff>
    </xdr:from>
    <xdr:to>
      <xdr:col>72</xdr:col>
      <xdr:colOff>524</xdr:colOff>
      <xdr:row>204</xdr:row>
      <xdr:rowOff>218660</xdr:rowOff>
    </xdr:to>
    <xdr:sp macro="" textlink="">
      <xdr:nvSpPr>
        <xdr:cNvPr id="439" name="직사각형 438">
          <a:extLst>
            <a:ext uri="{FF2B5EF4-FFF2-40B4-BE49-F238E27FC236}">
              <a16:creationId xmlns:a16="http://schemas.microsoft.com/office/drawing/2014/main" id="{065FCB07-7D24-432B-BFF6-BDE1B30D1561}"/>
            </a:ext>
          </a:extLst>
        </xdr:cNvPr>
        <xdr:cNvSpPr/>
      </xdr:nvSpPr>
      <xdr:spPr>
        <a:xfrm>
          <a:off x="79796640" y="20787360"/>
          <a:ext cx="5365004" cy="64538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669235</xdr:colOff>
      <xdr:row>203</xdr:row>
      <xdr:rowOff>0</xdr:rowOff>
    </xdr:from>
    <xdr:to>
      <xdr:col>71</xdr:col>
      <xdr:colOff>1</xdr:colOff>
      <xdr:row>203</xdr:row>
      <xdr:rowOff>218660</xdr:rowOff>
    </xdr:to>
    <xdr:sp macro="" textlink="">
      <xdr:nvSpPr>
        <xdr:cNvPr id="440" name="직사각형 439">
          <a:extLst>
            <a:ext uri="{FF2B5EF4-FFF2-40B4-BE49-F238E27FC236}">
              <a16:creationId xmlns:a16="http://schemas.microsoft.com/office/drawing/2014/main" id="{875AA66C-FEEC-4E68-A1CB-BF8EFDA67B61}"/>
            </a:ext>
          </a:extLst>
        </xdr:cNvPr>
        <xdr:cNvSpPr/>
      </xdr:nvSpPr>
      <xdr:spPr>
        <a:xfrm>
          <a:off x="80465875" y="21000720"/>
          <a:ext cx="4024686" cy="218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67</xdr:col>
      <xdr:colOff>664732</xdr:colOff>
      <xdr:row>193</xdr:row>
      <xdr:rowOff>0</xdr:rowOff>
    </xdr:from>
    <xdr:to>
      <xdr:col>72</xdr:col>
      <xdr:colOff>0</xdr:colOff>
      <xdr:row>198</xdr:row>
      <xdr:rowOff>215153</xdr:rowOff>
    </xdr:to>
    <xdr:sp macro="" textlink="">
      <xdr:nvSpPr>
        <xdr:cNvPr id="441" name="사각형: 둥근 모서리 440">
          <a:extLst>
            <a:ext uri="{FF2B5EF4-FFF2-40B4-BE49-F238E27FC236}">
              <a16:creationId xmlns:a16="http://schemas.microsoft.com/office/drawing/2014/main" id="{03EAB72C-7AF3-4368-9999-5F895656ADA3}"/>
            </a:ext>
          </a:extLst>
        </xdr:cNvPr>
        <xdr:cNvSpPr/>
      </xdr:nvSpPr>
      <xdr:spPr>
        <a:xfrm>
          <a:off x="45712379" y="43496753"/>
          <a:ext cx="2697033" cy="1335741"/>
        </a:xfrm>
        <a:prstGeom prst="roundRect">
          <a:avLst/>
        </a:prstGeom>
        <a:ln w="57150">
          <a:solidFill>
            <a:schemeClr val="tx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73</xdr:col>
      <xdr:colOff>0</xdr:colOff>
      <xdr:row>195</xdr:row>
      <xdr:rowOff>0</xdr:rowOff>
    </xdr:from>
    <xdr:to>
      <xdr:col>78</xdr:col>
      <xdr:colOff>1</xdr:colOff>
      <xdr:row>197</xdr:row>
      <xdr:rowOff>0</xdr:rowOff>
    </xdr:to>
    <xdr:sp macro="" textlink="">
      <xdr:nvSpPr>
        <xdr:cNvPr id="442" name="화살표: 오른쪽 441">
          <a:extLst>
            <a:ext uri="{FF2B5EF4-FFF2-40B4-BE49-F238E27FC236}">
              <a16:creationId xmlns:a16="http://schemas.microsoft.com/office/drawing/2014/main" id="{31B40166-08F2-44FA-A878-5981A440A5D9}"/>
            </a:ext>
          </a:extLst>
        </xdr:cNvPr>
        <xdr:cNvSpPr/>
      </xdr:nvSpPr>
      <xdr:spPr>
        <a:xfrm flipH="1">
          <a:off x="49081765" y="43944988"/>
          <a:ext cx="3361765" cy="448236"/>
        </a:xfrm>
        <a:prstGeom prst="rightArrow">
          <a:avLst/>
        </a:prstGeom>
        <a:solidFill>
          <a:schemeClr val="bg1">
            <a:lumMod val="95000"/>
          </a:schemeClr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71</xdr:col>
      <xdr:colOff>2358</xdr:colOff>
      <xdr:row>167</xdr:row>
      <xdr:rowOff>6187</xdr:rowOff>
    </xdr:from>
    <xdr:to>
      <xdr:col>71</xdr:col>
      <xdr:colOff>439119</xdr:colOff>
      <xdr:row>169</xdr:row>
      <xdr:rowOff>45110</xdr:rowOff>
    </xdr:to>
    <xdr:sp macro="" textlink="">
      <xdr:nvSpPr>
        <xdr:cNvPr id="443" name="화살표: 굽음 442">
          <a:extLst>
            <a:ext uri="{FF2B5EF4-FFF2-40B4-BE49-F238E27FC236}">
              <a16:creationId xmlns:a16="http://schemas.microsoft.com/office/drawing/2014/main" id="{871F2031-D93A-4FBE-BD79-EEE5CC9C65A3}"/>
            </a:ext>
          </a:extLst>
        </xdr:cNvPr>
        <xdr:cNvSpPr/>
      </xdr:nvSpPr>
      <xdr:spPr>
        <a:xfrm flipV="1">
          <a:off x="47739417" y="37657952"/>
          <a:ext cx="436761" cy="487158"/>
        </a:xfrm>
        <a:prstGeom prst="bentArrow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63</xdr:col>
      <xdr:colOff>-1</xdr:colOff>
      <xdr:row>119</xdr:row>
      <xdr:rowOff>10886</xdr:rowOff>
    </xdr:from>
    <xdr:to>
      <xdr:col>64</xdr:col>
      <xdr:colOff>0</xdr:colOff>
      <xdr:row>120</xdr:row>
      <xdr:rowOff>0</xdr:rowOff>
    </xdr:to>
    <xdr:sp macro="" textlink="">
      <xdr:nvSpPr>
        <xdr:cNvPr id="444" name="직사각형 443">
          <a:extLst>
            <a:ext uri="{FF2B5EF4-FFF2-40B4-BE49-F238E27FC236}">
              <a16:creationId xmlns:a16="http://schemas.microsoft.com/office/drawing/2014/main" id="{7EDE264F-4E74-4B72-B259-67BF5C5801D1}"/>
            </a:ext>
          </a:extLst>
        </xdr:cNvPr>
        <xdr:cNvSpPr/>
      </xdr:nvSpPr>
      <xdr:spPr>
        <a:xfrm>
          <a:off x="79126079" y="2815046"/>
          <a:ext cx="670561" cy="232954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62</xdr:col>
      <xdr:colOff>669757</xdr:colOff>
      <xdr:row>127</xdr:row>
      <xdr:rowOff>220579</xdr:rowOff>
    </xdr:from>
    <xdr:to>
      <xdr:col>63</xdr:col>
      <xdr:colOff>669757</xdr:colOff>
      <xdr:row>128</xdr:row>
      <xdr:rowOff>220578</xdr:rowOff>
    </xdr:to>
    <xdr:sp macro="" textlink="">
      <xdr:nvSpPr>
        <xdr:cNvPr id="445" name="직사각형 444">
          <a:extLst>
            <a:ext uri="{FF2B5EF4-FFF2-40B4-BE49-F238E27FC236}">
              <a16:creationId xmlns:a16="http://schemas.microsoft.com/office/drawing/2014/main" id="{10D74132-8EAA-4636-8275-7F44561ABBF6}"/>
            </a:ext>
          </a:extLst>
        </xdr:cNvPr>
        <xdr:cNvSpPr/>
      </xdr:nvSpPr>
      <xdr:spPr>
        <a:xfrm>
          <a:off x="79125277" y="4762099"/>
          <a:ext cx="670560" cy="213359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0</xdr:colOff>
      <xdr:row>119</xdr:row>
      <xdr:rowOff>10886</xdr:rowOff>
    </xdr:from>
    <xdr:to>
      <xdr:col>73</xdr:col>
      <xdr:colOff>-1</xdr:colOff>
      <xdr:row>120</xdr:row>
      <xdr:rowOff>0</xdr:rowOff>
    </xdr:to>
    <xdr:sp macro="" textlink="">
      <xdr:nvSpPr>
        <xdr:cNvPr id="446" name="직사각형 445">
          <a:extLst>
            <a:ext uri="{FF2B5EF4-FFF2-40B4-BE49-F238E27FC236}">
              <a16:creationId xmlns:a16="http://schemas.microsoft.com/office/drawing/2014/main" id="{9DD8B8FC-89FC-43E7-8317-04560EF172E3}"/>
            </a:ext>
          </a:extLst>
        </xdr:cNvPr>
        <xdr:cNvSpPr/>
      </xdr:nvSpPr>
      <xdr:spPr>
        <a:xfrm>
          <a:off x="85161120" y="2815046"/>
          <a:ext cx="670559" cy="232954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0</xdr:colOff>
      <xdr:row>128</xdr:row>
      <xdr:rowOff>1</xdr:rowOff>
    </xdr:from>
    <xdr:to>
      <xdr:col>72</xdr:col>
      <xdr:colOff>669757</xdr:colOff>
      <xdr:row>128</xdr:row>
      <xdr:rowOff>220579</xdr:rowOff>
    </xdr:to>
    <xdr:sp macro="" textlink="">
      <xdr:nvSpPr>
        <xdr:cNvPr id="447" name="직사각형 446">
          <a:extLst>
            <a:ext uri="{FF2B5EF4-FFF2-40B4-BE49-F238E27FC236}">
              <a16:creationId xmlns:a16="http://schemas.microsoft.com/office/drawing/2014/main" id="{0368CC73-4CCF-4591-87C3-EE2DCD4CD945}"/>
            </a:ext>
          </a:extLst>
        </xdr:cNvPr>
        <xdr:cNvSpPr/>
      </xdr:nvSpPr>
      <xdr:spPr>
        <a:xfrm>
          <a:off x="85161120" y="4754881"/>
          <a:ext cx="669757" cy="220578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71</xdr:col>
      <xdr:colOff>2358</xdr:colOff>
      <xdr:row>174</xdr:row>
      <xdr:rowOff>182445</xdr:rowOff>
    </xdr:from>
    <xdr:to>
      <xdr:col>71</xdr:col>
      <xdr:colOff>439119</xdr:colOff>
      <xdr:row>177</xdr:row>
      <xdr:rowOff>6189</xdr:rowOff>
    </xdr:to>
    <xdr:sp macro="" textlink="">
      <xdr:nvSpPr>
        <xdr:cNvPr id="456" name="화살표: 굽음 455">
          <a:extLst>
            <a:ext uri="{FF2B5EF4-FFF2-40B4-BE49-F238E27FC236}">
              <a16:creationId xmlns:a16="http://schemas.microsoft.com/office/drawing/2014/main" id="{000ECC24-71AB-46A6-912E-B496B9145436}"/>
            </a:ext>
          </a:extLst>
        </xdr:cNvPr>
        <xdr:cNvSpPr/>
      </xdr:nvSpPr>
      <xdr:spPr>
        <a:xfrm>
          <a:off x="47739417" y="39403033"/>
          <a:ext cx="436761" cy="496097"/>
        </a:xfrm>
        <a:prstGeom prst="bentArrow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80</xdr:col>
      <xdr:colOff>232474</xdr:colOff>
      <xdr:row>167</xdr:row>
      <xdr:rowOff>0</xdr:rowOff>
    </xdr:from>
    <xdr:to>
      <xdr:col>81</xdr:col>
      <xdr:colOff>0</xdr:colOff>
      <xdr:row>169</xdr:row>
      <xdr:rowOff>41630</xdr:rowOff>
    </xdr:to>
    <xdr:sp macro="" textlink="">
      <xdr:nvSpPr>
        <xdr:cNvPr id="457" name="화살표: 굽음 456">
          <a:extLst>
            <a:ext uri="{FF2B5EF4-FFF2-40B4-BE49-F238E27FC236}">
              <a16:creationId xmlns:a16="http://schemas.microsoft.com/office/drawing/2014/main" id="{FFB22C5B-6355-4929-BAE9-F712DD5C0CD0}"/>
            </a:ext>
          </a:extLst>
        </xdr:cNvPr>
        <xdr:cNvSpPr/>
      </xdr:nvSpPr>
      <xdr:spPr>
        <a:xfrm flipH="1" flipV="1">
          <a:off x="54020709" y="37651765"/>
          <a:ext cx="439879" cy="489865"/>
        </a:xfrm>
        <a:prstGeom prst="bentArrow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80</xdr:col>
      <xdr:colOff>232474</xdr:colOff>
      <xdr:row>174</xdr:row>
      <xdr:rowOff>181715</xdr:rowOff>
    </xdr:from>
    <xdr:to>
      <xdr:col>81</xdr:col>
      <xdr:colOff>0</xdr:colOff>
      <xdr:row>177</xdr:row>
      <xdr:rowOff>2709</xdr:rowOff>
    </xdr:to>
    <xdr:sp macro="" textlink="">
      <xdr:nvSpPr>
        <xdr:cNvPr id="458" name="화살표: 굽음 457">
          <a:extLst>
            <a:ext uri="{FF2B5EF4-FFF2-40B4-BE49-F238E27FC236}">
              <a16:creationId xmlns:a16="http://schemas.microsoft.com/office/drawing/2014/main" id="{F26BC2F4-FCAE-42D2-9730-8C457AA54A95}"/>
            </a:ext>
          </a:extLst>
        </xdr:cNvPr>
        <xdr:cNvSpPr/>
      </xdr:nvSpPr>
      <xdr:spPr>
        <a:xfrm flipH="1">
          <a:off x="54020709" y="39402303"/>
          <a:ext cx="439879" cy="493347"/>
        </a:xfrm>
        <a:prstGeom prst="bentArrow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63</xdr:col>
      <xdr:colOff>489234</xdr:colOff>
      <xdr:row>191</xdr:row>
      <xdr:rowOff>2409</xdr:rowOff>
    </xdr:from>
    <xdr:to>
      <xdr:col>64</xdr:col>
      <xdr:colOff>0</xdr:colOff>
      <xdr:row>195</xdr:row>
      <xdr:rowOff>0</xdr:rowOff>
    </xdr:to>
    <xdr:sp macro="" textlink="">
      <xdr:nvSpPr>
        <xdr:cNvPr id="459" name="직사각형 458">
          <a:extLst>
            <a:ext uri="{FF2B5EF4-FFF2-40B4-BE49-F238E27FC236}">
              <a16:creationId xmlns:a16="http://schemas.microsoft.com/office/drawing/2014/main" id="{18C112B5-29B0-411C-8A87-9F871BF0C707}"/>
            </a:ext>
          </a:extLst>
        </xdr:cNvPr>
        <xdr:cNvSpPr/>
      </xdr:nvSpPr>
      <xdr:spPr>
        <a:xfrm>
          <a:off x="79615314" y="18442809"/>
          <a:ext cx="181326" cy="851031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63</xdr:col>
      <xdr:colOff>489234</xdr:colOff>
      <xdr:row>197</xdr:row>
      <xdr:rowOff>3012</xdr:rowOff>
    </xdr:from>
    <xdr:to>
      <xdr:col>64</xdr:col>
      <xdr:colOff>0</xdr:colOff>
      <xdr:row>201</xdr:row>
      <xdr:rowOff>6402</xdr:rowOff>
    </xdr:to>
    <xdr:sp macro="" textlink="">
      <xdr:nvSpPr>
        <xdr:cNvPr id="460" name="직사각형 459">
          <a:extLst>
            <a:ext uri="{FF2B5EF4-FFF2-40B4-BE49-F238E27FC236}">
              <a16:creationId xmlns:a16="http://schemas.microsoft.com/office/drawing/2014/main" id="{67BA8217-B7AC-494C-AEF4-DA2E8DA31DE6}"/>
            </a:ext>
          </a:extLst>
        </xdr:cNvPr>
        <xdr:cNvSpPr/>
      </xdr:nvSpPr>
      <xdr:spPr>
        <a:xfrm>
          <a:off x="79615314" y="19723572"/>
          <a:ext cx="181326" cy="85683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0</xdr:colOff>
      <xdr:row>191</xdr:row>
      <xdr:rowOff>2410</xdr:rowOff>
    </xdr:from>
    <xdr:to>
      <xdr:col>72</xdr:col>
      <xdr:colOff>180000</xdr:colOff>
      <xdr:row>195</xdr:row>
      <xdr:rowOff>3014</xdr:rowOff>
    </xdr:to>
    <xdr:sp macro="" textlink="">
      <xdr:nvSpPr>
        <xdr:cNvPr id="461" name="직사각형 460">
          <a:extLst>
            <a:ext uri="{FF2B5EF4-FFF2-40B4-BE49-F238E27FC236}">
              <a16:creationId xmlns:a16="http://schemas.microsoft.com/office/drawing/2014/main" id="{C60B423E-8C1D-4E6B-98EC-4B88254463B7}"/>
            </a:ext>
          </a:extLst>
        </xdr:cNvPr>
        <xdr:cNvSpPr/>
      </xdr:nvSpPr>
      <xdr:spPr>
        <a:xfrm>
          <a:off x="85161120" y="18442810"/>
          <a:ext cx="180000" cy="854044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0</xdr:colOff>
      <xdr:row>197</xdr:row>
      <xdr:rowOff>3013</xdr:rowOff>
    </xdr:from>
    <xdr:to>
      <xdr:col>72</xdr:col>
      <xdr:colOff>180000</xdr:colOff>
      <xdr:row>201</xdr:row>
      <xdr:rowOff>3012</xdr:rowOff>
    </xdr:to>
    <xdr:sp macro="" textlink="">
      <xdr:nvSpPr>
        <xdr:cNvPr id="462" name="직사각형 461">
          <a:extLst>
            <a:ext uri="{FF2B5EF4-FFF2-40B4-BE49-F238E27FC236}">
              <a16:creationId xmlns:a16="http://schemas.microsoft.com/office/drawing/2014/main" id="{A2A23BE1-1BB2-4FCC-8AFC-4980A18024BA}"/>
            </a:ext>
          </a:extLst>
        </xdr:cNvPr>
        <xdr:cNvSpPr/>
      </xdr:nvSpPr>
      <xdr:spPr>
        <a:xfrm>
          <a:off x="85161120" y="19723573"/>
          <a:ext cx="180000" cy="853439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71</xdr:col>
      <xdr:colOff>-1</xdr:colOff>
      <xdr:row>61</xdr:row>
      <xdr:rowOff>6343</xdr:rowOff>
    </xdr:from>
    <xdr:to>
      <xdr:col>71</xdr:col>
      <xdr:colOff>480356</xdr:colOff>
      <xdr:row>63</xdr:row>
      <xdr:rowOff>4673</xdr:rowOff>
    </xdr:to>
    <xdr:sp macro="" textlink="">
      <xdr:nvSpPr>
        <xdr:cNvPr id="463" name="화살표: 굽음 462">
          <a:extLst>
            <a:ext uri="{FF2B5EF4-FFF2-40B4-BE49-F238E27FC236}">
              <a16:creationId xmlns:a16="http://schemas.microsoft.com/office/drawing/2014/main" id="{292B7FB6-DDCF-4FB1-8AD0-7AEBAB847A15}"/>
            </a:ext>
          </a:extLst>
        </xdr:cNvPr>
        <xdr:cNvSpPr/>
      </xdr:nvSpPr>
      <xdr:spPr>
        <a:xfrm rot="5400000" flipH="1" flipV="1">
          <a:off x="27694785" y="36831186"/>
          <a:ext cx="433758" cy="480357"/>
        </a:xfrm>
        <a:prstGeom prst="bentArrow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71</xdr:col>
      <xdr:colOff>-1</xdr:colOff>
      <xdr:row>67</xdr:row>
      <xdr:rowOff>1670</xdr:rowOff>
    </xdr:from>
    <xdr:to>
      <xdr:col>71</xdr:col>
      <xdr:colOff>480356</xdr:colOff>
      <xdr:row>68</xdr:row>
      <xdr:rowOff>217713</xdr:rowOff>
    </xdr:to>
    <xdr:sp macro="" textlink="">
      <xdr:nvSpPr>
        <xdr:cNvPr id="464" name="화살표: 굽음 463">
          <a:extLst>
            <a:ext uri="{FF2B5EF4-FFF2-40B4-BE49-F238E27FC236}">
              <a16:creationId xmlns:a16="http://schemas.microsoft.com/office/drawing/2014/main" id="{12BEA2E4-0F57-4182-BACD-CBAC44898861}"/>
            </a:ext>
          </a:extLst>
        </xdr:cNvPr>
        <xdr:cNvSpPr/>
      </xdr:nvSpPr>
      <xdr:spPr>
        <a:xfrm rot="16200000" flipH="1">
          <a:off x="27694785" y="38132799"/>
          <a:ext cx="433757" cy="480357"/>
        </a:xfrm>
        <a:prstGeom prst="bentArrow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80</xdr:col>
      <xdr:colOff>192305</xdr:colOff>
      <xdr:row>61</xdr:row>
      <xdr:rowOff>1670</xdr:rowOff>
    </xdr:from>
    <xdr:to>
      <xdr:col>81</xdr:col>
      <xdr:colOff>-1</xdr:colOff>
      <xdr:row>63</xdr:row>
      <xdr:rowOff>0</xdr:rowOff>
    </xdr:to>
    <xdr:sp macro="" textlink="">
      <xdr:nvSpPr>
        <xdr:cNvPr id="465" name="화살표: 굽음 464">
          <a:extLst>
            <a:ext uri="{FF2B5EF4-FFF2-40B4-BE49-F238E27FC236}">
              <a16:creationId xmlns:a16="http://schemas.microsoft.com/office/drawing/2014/main" id="{8701E059-087B-46FF-A2F0-81094D077F15}"/>
            </a:ext>
          </a:extLst>
        </xdr:cNvPr>
        <xdr:cNvSpPr/>
      </xdr:nvSpPr>
      <xdr:spPr>
        <a:xfrm rot="16200000" flipV="1">
          <a:off x="33962445" y="36825387"/>
          <a:ext cx="433758" cy="482609"/>
        </a:xfrm>
        <a:prstGeom prst="bentArrow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80</xdr:col>
      <xdr:colOff>192305</xdr:colOff>
      <xdr:row>67</xdr:row>
      <xdr:rowOff>-1</xdr:rowOff>
    </xdr:from>
    <xdr:to>
      <xdr:col>81</xdr:col>
      <xdr:colOff>-1</xdr:colOff>
      <xdr:row>68</xdr:row>
      <xdr:rowOff>213040</xdr:rowOff>
    </xdr:to>
    <xdr:sp macro="" textlink="">
      <xdr:nvSpPr>
        <xdr:cNvPr id="466" name="화살표: 굽음 465">
          <a:extLst>
            <a:ext uri="{FF2B5EF4-FFF2-40B4-BE49-F238E27FC236}">
              <a16:creationId xmlns:a16="http://schemas.microsoft.com/office/drawing/2014/main" id="{A642986F-1359-49F3-BD55-20E68636C1D8}"/>
            </a:ext>
          </a:extLst>
        </xdr:cNvPr>
        <xdr:cNvSpPr/>
      </xdr:nvSpPr>
      <xdr:spPr>
        <a:xfrm rot="5400000">
          <a:off x="33963946" y="38128501"/>
          <a:ext cx="430755" cy="482609"/>
        </a:xfrm>
        <a:prstGeom prst="bentArrow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71</xdr:col>
      <xdr:colOff>672597</xdr:colOff>
      <xdr:row>69</xdr:row>
      <xdr:rowOff>1919</xdr:rowOff>
    </xdr:from>
    <xdr:to>
      <xdr:col>80</xdr:col>
      <xdr:colOff>0</xdr:colOff>
      <xdr:row>70</xdr:row>
      <xdr:rowOff>0</xdr:rowOff>
    </xdr:to>
    <xdr:sp macro="" textlink="">
      <xdr:nvSpPr>
        <xdr:cNvPr id="467" name="직사각형 466">
          <a:extLst>
            <a:ext uri="{FF2B5EF4-FFF2-40B4-BE49-F238E27FC236}">
              <a16:creationId xmlns:a16="http://schemas.microsoft.com/office/drawing/2014/main" id="{E4AA9CFB-7564-4851-85CD-1EB2091B18E3}"/>
            </a:ext>
          </a:extLst>
        </xdr:cNvPr>
        <xdr:cNvSpPr/>
      </xdr:nvSpPr>
      <xdr:spPr>
        <a:xfrm>
          <a:off x="28344083" y="33344862"/>
          <a:ext cx="5401631" cy="215795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71</xdr:col>
      <xdr:colOff>672597</xdr:colOff>
      <xdr:row>60</xdr:row>
      <xdr:rowOff>0</xdr:rowOff>
    </xdr:from>
    <xdr:to>
      <xdr:col>80</xdr:col>
      <xdr:colOff>0</xdr:colOff>
      <xdr:row>61</xdr:row>
      <xdr:rowOff>0</xdr:rowOff>
    </xdr:to>
    <xdr:sp macro="" textlink="">
      <xdr:nvSpPr>
        <xdr:cNvPr id="468" name="직사각형 467">
          <a:extLst>
            <a:ext uri="{FF2B5EF4-FFF2-40B4-BE49-F238E27FC236}">
              <a16:creationId xmlns:a16="http://schemas.microsoft.com/office/drawing/2014/main" id="{0D50603B-34C4-4ACA-8565-1485C3ED7FC2}"/>
            </a:ext>
          </a:extLst>
        </xdr:cNvPr>
        <xdr:cNvSpPr/>
      </xdr:nvSpPr>
      <xdr:spPr>
        <a:xfrm>
          <a:off x="28344083" y="31383514"/>
          <a:ext cx="5401631" cy="217715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69</xdr:col>
      <xdr:colOff>0</xdr:colOff>
      <xdr:row>59</xdr:row>
      <xdr:rowOff>1919</xdr:rowOff>
    </xdr:from>
    <xdr:to>
      <xdr:col>77</xdr:col>
      <xdr:colOff>525</xdr:colOff>
      <xdr:row>60</xdr:row>
      <xdr:rowOff>0</xdr:rowOff>
    </xdr:to>
    <xdr:sp macro="" textlink="">
      <xdr:nvSpPr>
        <xdr:cNvPr id="469" name="직사각형 468">
          <a:extLst>
            <a:ext uri="{FF2B5EF4-FFF2-40B4-BE49-F238E27FC236}">
              <a16:creationId xmlns:a16="http://schemas.microsoft.com/office/drawing/2014/main" id="{FEC51B9D-C08B-459C-BA5C-3956FC0E7E68}"/>
            </a:ext>
          </a:extLst>
        </xdr:cNvPr>
        <xdr:cNvSpPr/>
      </xdr:nvSpPr>
      <xdr:spPr>
        <a:xfrm>
          <a:off x="26321657" y="31167719"/>
          <a:ext cx="5399839" cy="215795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71</xdr:col>
      <xdr:colOff>669854</xdr:colOff>
      <xdr:row>62</xdr:row>
      <xdr:rowOff>0</xdr:rowOff>
    </xdr:from>
    <xdr:to>
      <xdr:col>76</xdr:col>
      <xdr:colOff>0</xdr:colOff>
      <xdr:row>67</xdr:row>
      <xdr:rowOff>215711</xdr:rowOff>
    </xdr:to>
    <xdr:sp macro="" textlink="">
      <xdr:nvSpPr>
        <xdr:cNvPr id="470" name="사각형: 둥근 모서리 469">
          <a:extLst>
            <a:ext uri="{FF2B5EF4-FFF2-40B4-BE49-F238E27FC236}">
              <a16:creationId xmlns:a16="http://schemas.microsoft.com/office/drawing/2014/main" id="{FA265C5F-07AA-4BEE-824F-FB21A3A76DBF}"/>
            </a:ext>
          </a:extLst>
        </xdr:cNvPr>
        <xdr:cNvSpPr/>
      </xdr:nvSpPr>
      <xdr:spPr>
        <a:xfrm>
          <a:off x="28341340" y="31818943"/>
          <a:ext cx="2704717" cy="1304282"/>
        </a:xfrm>
        <a:prstGeom prst="roundRect">
          <a:avLst/>
        </a:prstGeom>
        <a:ln w="57150">
          <a:solidFill>
            <a:schemeClr val="tx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69</xdr:col>
      <xdr:colOff>0</xdr:colOff>
      <xdr:row>69</xdr:row>
      <xdr:rowOff>215397</xdr:rowOff>
    </xdr:from>
    <xdr:to>
      <xdr:col>76</xdr:col>
      <xdr:colOff>668434</xdr:colOff>
      <xdr:row>71</xdr:row>
      <xdr:rowOff>0</xdr:rowOff>
    </xdr:to>
    <xdr:sp macro="" textlink="">
      <xdr:nvSpPr>
        <xdr:cNvPr id="475" name="직사각형 474">
          <a:extLst>
            <a:ext uri="{FF2B5EF4-FFF2-40B4-BE49-F238E27FC236}">
              <a16:creationId xmlns:a16="http://schemas.microsoft.com/office/drawing/2014/main" id="{1C422F9D-071C-85EB-CE7F-D7788405709B}"/>
            </a:ext>
          </a:extLst>
        </xdr:cNvPr>
        <xdr:cNvSpPr/>
      </xdr:nvSpPr>
      <xdr:spPr>
        <a:xfrm>
          <a:off x="26321657" y="38805254"/>
          <a:ext cx="5392834" cy="220032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70</xdr:col>
      <xdr:colOff>671207</xdr:colOff>
      <xdr:row>60</xdr:row>
      <xdr:rowOff>4699</xdr:rowOff>
    </xdr:from>
    <xdr:to>
      <xdr:col>71</xdr:col>
      <xdr:colOff>671208</xdr:colOff>
      <xdr:row>61</xdr:row>
      <xdr:rowOff>0</xdr:rowOff>
    </xdr:to>
    <xdr:sp macro="" textlink="">
      <xdr:nvSpPr>
        <xdr:cNvPr id="476" name="직사각형 475">
          <a:extLst>
            <a:ext uri="{FF2B5EF4-FFF2-40B4-BE49-F238E27FC236}">
              <a16:creationId xmlns:a16="http://schemas.microsoft.com/office/drawing/2014/main" id="{1C0C35FB-46D3-4111-83C2-B840B3B78307}"/>
            </a:ext>
          </a:extLst>
        </xdr:cNvPr>
        <xdr:cNvSpPr/>
      </xdr:nvSpPr>
      <xdr:spPr>
        <a:xfrm>
          <a:off x="27519547" y="37070325"/>
          <a:ext cx="671210" cy="215794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70</xdr:col>
      <xdr:colOff>666049</xdr:colOff>
      <xdr:row>69</xdr:row>
      <xdr:rowOff>0</xdr:rowOff>
    </xdr:from>
    <xdr:to>
      <xdr:col>71</xdr:col>
      <xdr:colOff>671208</xdr:colOff>
      <xdr:row>69</xdr:row>
      <xdr:rowOff>220493</xdr:rowOff>
    </xdr:to>
    <xdr:sp macro="" textlink="">
      <xdr:nvSpPr>
        <xdr:cNvPr id="477" name="직사각형 476">
          <a:extLst>
            <a:ext uri="{FF2B5EF4-FFF2-40B4-BE49-F238E27FC236}">
              <a16:creationId xmlns:a16="http://schemas.microsoft.com/office/drawing/2014/main" id="{C3048F15-F79E-4920-B26E-4446D2877008}"/>
            </a:ext>
          </a:extLst>
        </xdr:cNvPr>
        <xdr:cNvSpPr/>
      </xdr:nvSpPr>
      <xdr:spPr>
        <a:xfrm>
          <a:off x="27514389" y="39050068"/>
          <a:ext cx="676368" cy="220493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80</xdr:col>
      <xdr:colOff>2</xdr:colOff>
      <xdr:row>60</xdr:row>
      <xdr:rowOff>4699</xdr:rowOff>
    </xdr:from>
    <xdr:to>
      <xdr:col>81</xdr:col>
      <xdr:colOff>0</xdr:colOff>
      <xdr:row>61</xdr:row>
      <xdr:rowOff>0</xdr:rowOff>
    </xdr:to>
    <xdr:sp macro="" textlink="">
      <xdr:nvSpPr>
        <xdr:cNvPr id="478" name="직사각형 477">
          <a:extLst>
            <a:ext uri="{FF2B5EF4-FFF2-40B4-BE49-F238E27FC236}">
              <a16:creationId xmlns:a16="http://schemas.microsoft.com/office/drawing/2014/main" id="{F95583AD-9CF1-4FE4-9E59-6E9667F486BE}"/>
            </a:ext>
          </a:extLst>
        </xdr:cNvPr>
        <xdr:cNvSpPr/>
      </xdr:nvSpPr>
      <xdr:spPr>
        <a:xfrm>
          <a:off x="33560428" y="37070325"/>
          <a:ext cx="671206" cy="215794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80</xdr:col>
      <xdr:colOff>2</xdr:colOff>
      <xdr:row>69</xdr:row>
      <xdr:rowOff>1</xdr:rowOff>
    </xdr:from>
    <xdr:to>
      <xdr:col>81</xdr:col>
      <xdr:colOff>0</xdr:colOff>
      <xdr:row>70</xdr:row>
      <xdr:rowOff>0</xdr:rowOff>
    </xdr:to>
    <xdr:sp macro="" textlink="">
      <xdr:nvSpPr>
        <xdr:cNvPr id="479" name="직사각형 478">
          <a:extLst>
            <a:ext uri="{FF2B5EF4-FFF2-40B4-BE49-F238E27FC236}">
              <a16:creationId xmlns:a16="http://schemas.microsoft.com/office/drawing/2014/main" id="{0F866D32-AC55-4E1F-B90A-3605FC1B97FC}"/>
            </a:ext>
          </a:extLst>
        </xdr:cNvPr>
        <xdr:cNvSpPr/>
      </xdr:nvSpPr>
      <xdr:spPr>
        <a:xfrm>
          <a:off x="33560428" y="39050069"/>
          <a:ext cx="671206" cy="220493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3104</xdr:colOff>
      <xdr:row>86</xdr:row>
      <xdr:rowOff>12889</xdr:rowOff>
    </xdr:from>
    <xdr:to>
      <xdr:col>76</xdr:col>
      <xdr:colOff>0</xdr:colOff>
      <xdr:row>92</xdr:row>
      <xdr:rowOff>0</xdr:rowOff>
    </xdr:to>
    <xdr:sp macro="" textlink="">
      <xdr:nvSpPr>
        <xdr:cNvPr id="480" name="사각형: 둥근 모서리 479">
          <a:extLst>
            <a:ext uri="{FF2B5EF4-FFF2-40B4-BE49-F238E27FC236}">
              <a16:creationId xmlns:a16="http://schemas.microsoft.com/office/drawing/2014/main" id="{82CAF3D1-A7D6-5336-6C5B-C31D9BCEE5E8}"/>
            </a:ext>
          </a:extLst>
        </xdr:cNvPr>
        <xdr:cNvSpPr/>
      </xdr:nvSpPr>
      <xdr:spPr>
        <a:xfrm>
          <a:off x="28166624" y="42867769"/>
          <a:ext cx="2679136" cy="1312991"/>
        </a:xfrm>
        <a:prstGeom prst="roundRect">
          <a:avLst/>
        </a:prstGeom>
        <a:ln w="57150">
          <a:solidFill>
            <a:schemeClr val="tx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69</xdr:col>
      <xdr:colOff>0</xdr:colOff>
      <xdr:row>153</xdr:row>
      <xdr:rowOff>0</xdr:rowOff>
    </xdr:from>
    <xdr:to>
      <xdr:col>76</xdr:col>
      <xdr:colOff>668434</xdr:colOff>
      <xdr:row>154</xdr:row>
      <xdr:rowOff>2318</xdr:rowOff>
    </xdr:to>
    <xdr:sp macro="" textlink="">
      <xdr:nvSpPr>
        <xdr:cNvPr id="485" name="직사각형 484">
          <a:extLst>
            <a:ext uri="{FF2B5EF4-FFF2-40B4-BE49-F238E27FC236}">
              <a16:creationId xmlns:a16="http://schemas.microsoft.com/office/drawing/2014/main" id="{45B1230C-18FA-4DE0-92BF-F884DE700C69}"/>
            </a:ext>
          </a:extLst>
        </xdr:cNvPr>
        <xdr:cNvSpPr/>
      </xdr:nvSpPr>
      <xdr:spPr>
        <a:xfrm>
          <a:off x="25935709" y="34234582"/>
          <a:ext cx="5323561" cy="223991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71</xdr:col>
      <xdr:colOff>672597</xdr:colOff>
      <xdr:row>152</xdr:row>
      <xdr:rowOff>1919</xdr:rowOff>
    </xdr:from>
    <xdr:to>
      <xdr:col>80</xdr:col>
      <xdr:colOff>0</xdr:colOff>
      <xdr:row>153</xdr:row>
      <xdr:rowOff>0</xdr:rowOff>
    </xdr:to>
    <xdr:sp macro="" textlink="">
      <xdr:nvSpPr>
        <xdr:cNvPr id="486" name="직사각형 485">
          <a:extLst>
            <a:ext uri="{FF2B5EF4-FFF2-40B4-BE49-F238E27FC236}">
              <a16:creationId xmlns:a16="http://schemas.microsoft.com/office/drawing/2014/main" id="{767C7007-0DA0-4E81-8FA9-B4D248B80440}"/>
            </a:ext>
          </a:extLst>
        </xdr:cNvPr>
        <xdr:cNvSpPr/>
      </xdr:nvSpPr>
      <xdr:spPr>
        <a:xfrm>
          <a:off x="27938342" y="34014828"/>
          <a:ext cx="5312567" cy="219754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71</xdr:col>
      <xdr:colOff>672597</xdr:colOff>
      <xdr:row>143</xdr:row>
      <xdr:rowOff>0</xdr:rowOff>
    </xdr:from>
    <xdr:to>
      <xdr:col>80</xdr:col>
      <xdr:colOff>0</xdr:colOff>
      <xdr:row>144</xdr:row>
      <xdr:rowOff>0</xdr:rowOff>
    </xdr:to>
    <xdr:sp macro="" textlink="">
      <xdr:nvSpPr>
        <xdr:cNvPr id="487" name="직사각형 486">
          <a:extLst>
            <a:ext uri="{FF2B5EF4-FFF2-40B4-BE49-F238E27FC236}">
              <a16:creationId xmlns:a16="http://schemas.microsoft.com/office/drawing/2014/main" id="{A7593648-9EF5-4C19-84AA-607A88ECE59E}"/>
            </a:ext>
          </a:extLst>
        </xdr:cNvPr>
        <xdr:cNvSpPr/>
      </xdr:nvSpPr>
      <xdr:spPr>
        <a:xfrm>
          <a:off x="27938342" y="32017855"/>
          <a:ext cx="5312567" cy="221672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69</xdr:col>
      <xdr:colOff>0</xdr:colOff>
      <xdr:row>142</xdr:row>
      <xdr:rowOff>1919</xdr:rowOff>
    </xdr:from>
    <xdr:to>
      <xdr:col>77</xdr:col>
      <xdr:colOff>525</xdr:colOff>
      <xdr:row>143</xdr:row>
      <xdr:rowOff>0</xdr:rowOff>
    </xdr:to>
    <xdr:sp macro="" textlink="">
      <xdr:nvSpPr>
        <xdr:cNvPr id="488" name="직사각형 487">
          <a:extLst>
            <a:ext uri="{FF2B5EF4-FFF2-40B4-BE49-F238E27FC236}">
              <a16:creationId xmlns:a16="http://schemas.microsoft.com/office/drawing/2014/main" id="{AD6ADCEB-CB92-4228-BE1C-8C53AE2C8F66}"/>
            </a:ext>
          </a:extLst>
        </xdr:cNvPr>
        <xdr:cNvSpPr/>
      </xdr:nvSpPr>
      <xdr:spPr>
        <a:xfrm>
          <a:off x="25935709" y="31798101"/>
          <a:ext cx="5320671" cy="219754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73</xdr:col>
      <xdr:colOff>669853</xdr:colOff>
      <xdr:row>145</xdr:row>
      <xdr:rowOff>12890</xdr:rowOff>
    </xdr:from>
    <xdr:to>
      <xdr:col>78</xdr:col>
      <xdr:colOff>0</xdr:colOff>
      <xdr:row>151</xdr:row>
      <xdr:rowOff>10886</xdr:rowOff>
    </xdr:to>
    <xdr:sp macro="" textlink="">
      <xdr:nvSpPr>
        <xdr:cNvPr id="489" name="사각형: 둥근 모서리 488">
          <a:extLst>
            <a:ext uri="{FF2B5EF4-FFF2-40B4-BE49-F238E27FC236}">
              <a16:creationId xmlns:a16="http://schemas.microsoft.com/office/drawing/2014/main" id="{F81FE599-54FF-437A-AEEC-7C503AC438E2}"/>
            </a:ext>
          </a:extLst>
        </xdr:cNvPr>
        <xdr:cNvSpPr/>
      </xdr:nvSpPr>
      <xdr:spPr>
        <a:xfrm>
          <a:off x="49938596" y="31831833"/>
          <a:ext cx="2704718" cy="1304282"/>
        </a:xfrm>
        <a:prstGeom prst="roundRect">
          <a:avLst/>
        </a:prstGeom>
        <a:ln w="57150">
          <a:solidFill>
            <a:schemeClr val="tx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66</xdr:col>
      <xdr:colOff>0</xdr:colOff>
      <xdr:row>147</xdr:row>
      <xdr:rowOff>21772</xdr:rowOff>
    </xdr:from>
    <xdr:to>
      <xdr:col>71</xdr:col>
      <xdr:colOff>0</xdr:colOff>
      <xdr:row>149</xdr:row>
      <xdr:rowOff>21772</xdr:rowOff>
    </xdr:to>
    <xdr:sp macro="" textlink="">
      <xdr:nvSpPr>
        <xdr:cNvPr id="490" name="화살표: 오른쪽 489">
          <a:extLst>
            <a:ext uri="{FF2B5EF4-FFF2-40B4-BE49-F238E27FC236}">
              <a16:creationId xmlns:a16="http://schemas.microsoft.com/office/drawing/2014/main" id="{033565D8-1050-4ABC-A73E-2AC90887144C}"/>
            </a:ext>
          </a:extLst>
        </xdr:cNvPr>
        <xdr:cNvSpPr/>
      </xdr:nvSpPr>
      <xdr:spPr>
        <a:xfrm>
          <a:off x="23940655" y="32926317"/>
          <a:ext cx="3325090" cy="443346"/>
        </a:xfrm>
        <a:prstGeom prst="rightArrow">
          <a:avLst/>
        </a:prstGeom>
        <a:solidFill>
          <a:schemeClr val="bg1">
            <a:lumMod val="95000"/>
          </a:schemeClr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69</xdr:col>
      <xdr:colOff>0</xdr:colOff>
      <xdr:row>177</xdr:row>
      <xdr:rowOff>0</xdr:rowOff>
    </xdr:from>
    <xdr:to>
      <xdr:col>76</xdr:col>
      <xdr:colOff>668434</xdr:colOff>
      <xdr:row>178</xdr:row>
      <xdr:rowOff>2318</xdr:rowOff>
    </xdr:to>
    <xdr:sp macro="" textlink="">
      <xdr:nvSpPr>
        <xdr:cNvPr id="495" name="직사각형 494">
          <a:extLst>
            <a:ext uri="{FF2B5EF4-FFF2-40B4-BE49-F238E27FC236}">
              <a16:creationId xmlns:a16="http://schemas.microsoft.com/office/drawing/2014/main" id="{187A8A53-A1DD-4557-A2D6-3B0F5C764762}"/>
            </a:ext>
          </a:extLst>
        </xdr:cNvPr>
        <xdr:cNvSpPr/>
      </xdr:nvSpPr>
      <xdr:spPr>
        <a:xfrm>
          <a:off x="25935709" y="34234582"/>
          <a:ext cx="5323561" cy="223991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71</xdr:col>
      <xdr:colOff>672597</xdr:colOff>
      <xdr:row>176</xdr:row>
      <xdr:rowOff>1919</xdr:rowOff>
    </xdr:from>
    <xdr:to>
      <xdr:col>80</xdr:col>
      <xdr:colOff>0</xdr:colOff>
      <xdr:row>177</xdr:row>
      <xdr:rowOff>0</xdr:rowOff>
    </xdr:to>
    <xdr:sp macro="" textlink="">
      <xdr:nvSpPr>
        <xdr:cNvPr id="496" name="직사각형 495">
          <a:extLst>
            <a:ext uri="{FF2B5EF4-FFF2-40B4-BE49-F238E27FC236}">
              <a16:creationId xmlns:a16="http://schemas.microsoft.com/office/drawing/2014/main" id="{CF1F1049-2486-4B63-9BA9-46DEF85AADBC}"/>
            </a:ext>
          </a:extLst>
        </xdr:cNvPr>
        <xdr:cNvSpPr/>
      </xdr:nvSpPr>
      <xdr:spPr>
        <a:xfrm>
          <a:off x="27938342" y="34014828"/>
          <a:ext cx="5312567" cy="219754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71</xdr:col>
      <xdr:colOff>672597</xdr:colOff>
      <xdr:row>167</xdr:row>
      <xdr:rowOff>0</xdr:rowOff>
    </xdr:from>
    <xdr:to>
      <xdr:col>80</xdr:col>
      <xdr:colOff>0</xdr:colOff>
      <xdr:row>168</xdr:row>
      <xdr:rowOff>0</xdr:rowOff>
    </xdr:to>
    <xdr:sp macro="" textlink="">
      <xdr:nvSpPr>
        <xdr:cNvPr id="497" name="직사각형 496">
          <a:extLst>
            <a:ext uri="{FF2B5EF4-FFF2-40B4-BE49-F238E27FC236}">
              <a16:creationId xmlns:a16="http://schemas.microsoft.com/office/drawing/2014/main" id="{E034F231-0F16-4701-AFD2-DE5E1C07280D}"/>
            </a:ext>
          </a:extLst>
        </xdr:cNvPr>
        <xdr:cNvSpPr/>
      </xdr:nvSpPr>
      <xdr:spPr>
        <a:xfrm>
          <a:off x="27938342" y="32017855"/>
          <a:ext cx="5312567" cy="221672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69</xdr:col>
      <xdr:colOff>0</xdr:colOff>
      <xdr:row>166</xdr:row>
      <xdr:rowOff>1919</xdr:rowOff>
    </xdr:from>
    <xdr:to>
      <xdr:col>77</xdr:col>
      <xdr:colOff>525</xdr:colOff>
      <xdr:row>167</xdr:row>
      <xdr:rowOff>0</xdr:rowOff>
    </xdr:to>
    <xdr:sp macro="" textlink="">
      <xdr:nvSpPr>
        <xdr:cNvPr id="498" name="직사각형 497">
          <a:extLst>
            <a:ext uri="{FF2B5EF4-FFF2-40B4-BE49-F238E27FC236}">
              <a16:creationId xmlns:a16="http://schemas.microsoft.com/office/drawing/2014/main" id="{A0AF6C31-D167-43C6-97D1-8B1BD457F1BC}"/>
            </a:ext>
          </a:extLst>
        </xdr:cNvPr>
        <xdr:cNvSpPr/>
      </xdr:nvSpPr>
      <xdr:spPr>
        <a:xfrm>
          <a:off x="25935709" y="31798101"/>
          <a:ext cx="5320671" cy="219754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74</xdr:col>
      <xdr:colOff>618</xdr:colOff>
      <xdr:row>169</xdr:row>
      <xdr:rowOff>2950</xdr:rowOff>
    </xdr:from>
    <xdr:to>
      <xdr:col>78</xdr:col>
      <xdr:colOff>0</xdr:colOff>
      <xdr:row>175</xdr:row>
      <xdr:rowOff>0</xdr:rowOff>
    </xdr:to>
    <xdr:sp macro="" textlink="">
      <xdr:nvSpPr>
        <xdr:cNvPr id="499" name="사각형: 둥근 모서리 498">
          <a:extLst>
            <a:ext uri="{FF2B5EF4-FFF2-40B4-BE49-F238E27FC236}">
              <a16:creationId xmlns:a16="http://schemas.microsoft.com/office/drawing/2014/main" id="{06192BE3-40C8-425C-BEBC-8C2031C35093}"/>
            </a:ext>
          </a:extLst>
        </xdr:cNvPr>
        <xdr:cNvSpPr/>
      </xdr:nvSpPr>
      <xdr:spPr>
        <a:xfrm>
          <a:off x="49523992" y="37287941"/>
          <a:ext cx="2676321" cy="1309016"/>
        </a:xfrm>
        <a:prstGeom prst="roundRect">
          <a:avLst/>
        </a:prstGeom>
        <a:ln w="57150">
          <a:solidFill>
            <a:schemeClr val="tx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71</xdr:col>
      <xdr:colOff>489235</xdr:colOff>
      <xdr:row>173</xdr:row>
      <xdr:rowOff>5458</xdr:rowOff>
    </xdr:from>
    <xdr:to>
      <xdr:col>71</xdr:col>
      <xdr:colOff>674913</xdr:colOff>
      <xdr:row>177</xdr:row>
      <xdr:rowOff>0</xdr:rowOff>
    </xdr:to>
    <xdr:sp macro="" textlink="">
      <xdr:nvSpPr>
        <xdr:cNvPr id="501" name="직사각형 500">
          <a:extLst>
            <a:ext uri="{FF2B5EF4-FFF2-40B4-BE49-F238E27FC236}">
              <a16:creationId xmlns:a16="http://schemas.microsoft.com/office/drawing/2014/main" id="{7F0337E9-78B4-4E89-BA97-4A354E0A52A9}"/>
            </a:ext>
          </a:extLst>
        </xdr:cNvPr>
        <xdr:cNvSpPr/>
      </xdr:nvSpPr>
      <xdr:spPr>
        <a:xfrm>
          <a:off x="27754980" y="33353349"/>
          <a:ext cx="178058" cy="881233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80</xdr:col>
      <xdr:colOff>0</xdr:colOff>
      <xdr:row>167</xdr:row>
      <xdr:rowOff>9050</xdr:rowOff>
    </xdr:from>
    <xdr:to>
      <xdr:col>80</xdr:col>
      <xdr:colOff>179160</xdr:colOff>
      <xdr:row>171</xdr:row>
      <xdr:rowOff>4763</xdr:rowOff>
    </xdr:to>
    <xdr:sp macro="" textlink="">
      <xdr:nvSpPr>
        <xdr:cNvPr id="502" name="직사각형 501">
          <a:extLst>
            <a:ext uri="{FF2B5EF4-FFF2-40B4-BE49-F238E27FC236}">
              <a16:creationId xmlns:a16="http://schemas.microsoft.com/office/drawing/2014/main" id="{FE66445D-324D-46B7-BE5F-5F6D3279E47C}"/>
            </a:ext>
          </a:extLst>
        </xdr:cNvPr>
        <xdr:cNvSpPr/>
      </xdr:nvSpPr>
      <xdr:spPr>
        <a:xfrm>
          <a:off x="33250909" y="32026905"/>
          <a:ext cx="179160" cy="882403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80</xdr:col>
      <xdr:colOff>0</xdr:colOff>
      <xdr:row>173</xdr:row>
      <xdr:rowOff>4763</xdr:rowOff>
    </xdr:from>
    <xdr:to>
      <xdr:col>80</xdr:col>
      <xdr:colOff>179160</xdr:colOff>
      <xdr:row>177</xdr:row>
      <xdr:rowOff>4762</xdr:rowOff>
    </xdr:to>
    <xdr:sp macro="" textlink="">
      <xdr:nvSpPr>
        <xdr:cNvPr id="503" name="직사각형 502">
          <a:extLst>
            <a:ext uri="{FF2B5EF4-FFF2-40B4-BE49-F238E27FC236}">
              <a16:creationId xmlns:a16="http://schemas.microsoft.com/office/drawing/2014/main" id="{646E56DE-A829-4A92-860A-173C79411B73}"/>
            </a:ext>
          </a:extLst>
        </xdr:cNvPr>
        <xdr:cNvSpPr/>
      </xdr:nvSpPr>
      <xdr:spPr>
        <a:xfrm>
          <a:off x="33250909" y="33352654"/>
          <a:ext cx="179160" cy="88669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71</xdr:col>
      <xdr:colOff>489235</xdr:colOff>
      <xdr:row>167</xdr:row>
      <xdr:rowOff>0</xdr:rowOff>
    </xdr:from>
    <xdr:to>
      <xdr:col>71</xdr:col>
      <xdr:colOff>674913</xdr:colOff>
      <xdr:row>170</xdr:row>
      <xdr:rowOff>217046</xdr:rowOff>
    </xdr:to>
    <xdr:sp macro="" textlink="">
      <xdr:nvSpPr>
        <xdr:cNvPr id="504" name="직사각형 503">
          <a:extLst>
            <a:ext uri="{FF2B5EF4-FFF2-40B4-BE49-F238E27FC236}">
              <a16:creationId xmlns:a16="http://schemas.microsoft.com/office/drawing/2014/main" id="{304CA80D-8039-4B66-9EB7-65905D8FAAB5}"/>
            </a:ext>
          </a:extLst>
        </xdr:cNvPr>
        <xdr:cNvSpPr/>
      </xdr:nvSpPr>
      <xdr:spPr>
        <a:xfrm>
          <a:off x="27754980" y="32017855"/>
          <a:ext cx="178058" cy="882064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70</xdr:col>
      <xdr:colOff>668213</xdr:colOff>
      <xdr:row>143</xdr:row>
      <xdr:rowOff>0</xdr:rowOff>
    </xdr:from>
    <xdr:to>
      <xdr:col>72</xdr:col>
      <xdr:colOff>0</xdr:colOff>
      <xdr:row>143</xdr:row>
      <xdr:rowOff>222068</xdr:rowOff>
    </xdr:to>
    <xdr:sp macro="" textlink="">
      <xdr:nvSpPr>
        <xdr:cNvPr id="505" name="직사각형 504">
          <a:extLst>
            <a:ext uri="{FF2B5EF4-FFF2-40B4-BE49-F238E27FC236}">
              <a16:creationId xmlns:a16="http://schemas.microsoft.com/office/drawing/2014/main" id="{E0E6373C-7D27-4ED5-B015-557201336CCA}"/>
            </a:ext>
          </a:extLst>
        </xdr:cNvPr>
        <xdr:cNvSpPr/>
      </xdr:nvSpPr>
      <xdr:spPr>
        <a:xfrm>
          <a:off x="47607413" y="31956103"/>
          <a:ext cx="672907" cy="222068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71</xdr:col>
      <xdr:colOff>0</xdr:colOff>
      <xdr:row>152</xdr:row>
      <xdr:rowOff>0</xdr:rowOff>
    </xdr:from>
    <xdr:to>
      <xdr:col>71</xdr:col>
      <xdr:colOff>669175</xdr:colOff>
      <xdr:row>152</xdr:row>
      <xdr:rowOff>222068</xdr:rowOff>
    </xdr:to>
    <xdr:sp macro="" textlink="">
      <xdr:nvSpPr>
        <xdr:cNvPr id="506" name="직사각형 505">
          <a:extLst>
            <a:ext uri="{FF2B5EF4-FFF2-40B4-BE49-F238E27FC236}">
              <a16:creationId xmlns:a16="http://schemas.microsoft.com/office/drawing/2014/main" id="{E2A94253-262D-4A15-A6DA-ABF229F9F415}"/>
            </a:ext>
          </a:extLst>
        </xdr:cNvPr>
        <xdr:cNvSpPr/>
      </xdr:nvSpPr>
      <xdr:spPr>
        <a:xfrm>
          <a:off x="47609760" y="33954720"/>
          <a:ext cx="669175" cy="222068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80</xdr:col>
      <xdr:colOff>1</xdr:colOff>
      <xdr:row>142</xdr:row>
      <xdr:rowOff>221672</xdr:rowOff>
    </xdr:from>
    <xdr:to>
      <xdr:col>81</xdr:col>
      <xdr:colOff>0</xdr:colOff>
      <xdr:row>144</xdr:row>
      <xdr:rowOff>0</xdr:rowOff>
    </xdr:to>
    <xdr:sp macro="" textlink="">
      <xdr:nvSpPr>
        <xdr:cNvPr id="507" name="직사각형 506">
          <a:extLst>
            <a:ext uri="{FF2B5EF4-FFF2-40B4-BE49-F238E27FC236}">
              <a16:creationId xmlns:a16="http://schemas.microsoft.com/office/drawing/2014/main" id="{6B193344-A6FB-4D9A-BC15-596F193AE07C}"/>
            </a:ext>
          </a:extLst>
        </xdr:cNvPr>
        <xdr:cNvSpPr/>
      </xdr:nvSpPr>
      <xdr:spPr>
        <a:xfrm>
          <a:off x="53755637" y="31858527"/>
          <a:ext cx="671945" cy="221673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79</xdr:col>
      <xdr:colOff>667206</xdr:colOff>
      <xdr:row>152</xdr:row>
      <xdr:rowOff>1095</xdr:rowOff>
    </xdr:from>
    <xdr:to>
      <xdr:col>81</xdr:col>
      <xdr:colOff>0</xdr:colOff>
      <xdr:row>153</xdr:row>
      <xdr:rowOff>0</xdr:rowOff>
    </xdr:to>
    <xdr:sp macro="" textlink="">
      <xdr:nvSpPr>
        <xdr:cNvPr id="508" name="직사각형 507">
          <a:extLst>
            <a:ext uri="{FF2B5EF4-FFF2-40B4-BE49-F238E27FC236}">
              <a16:creationId xmlns:a16="http://schemas.microsoft.com/office/drawing/2014/main" id="{CE821066-6C3A-41DF-AC57-704BAB81CC7A}"/>
            </a:ext>
          </a:extLst>
        </xdr:cNvPr>
        <xdr:cNvSpPr/>
      </xdr:nvSpPr>
      <xdr:spPr>
        <a:xfrm>
          <a:off x="53750897" y="33854677"/>
          <a:ext cx="676685" cy="220578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669855</xdr:colOff>
      <xdr:row>14</xdr:row>
      <xdr:rowOff>0</xdr:rowOff>
    </xdr:from>
    <xdr:to>
      <xdr:col>13</xdr:col>
      <xdr:colOff>0</xdr:colOff>
      <xdr:row>19</xdr:row>
      <xdr:rowOff>212708</xdr:rowOff>
    </xdr:to>
    <xdr:sp macro="" textlink="">
      <xdr:nvSpPr>
        <xdr:cNvPr id="509" name="사각형: 둥근 모서리 508">
          <a:extLst>
            <a:ext uri="{FF2B5EF4-FFF2-40B4-BE49-F238E27FC236}">
              <a16:creationId xmlns:a16="http://schemas.microsoft.com/office/drawing/2014/main" id="{C31FB6EF-2752-7E9A-AD03-63415FB0D3CB}"/>
            </a:ext>
          </a:extLst>
        </xdr:cNvPr>
        <xdr:cNvSpPr/>
      </xdr:nvSpPr>
      <xdr:spPr>
        <a:xfrm>
          <a:off x="6069169" y="3145971"/>
          <a:ext cx="2704717" cy="1301280"/>
        </a:xfrm>
        <a:prstGeom prst="roundRect">
          <a:avLst/>
        </a:prstGeom>
        <a:ln w="57150">
          <a:solidFill>
            <a:schemeClr val="tx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</xdr:colOff>
      <xdr:row>12</xdr:row>
      <xdr:rowOff>11554</xdr:rowOff>
    </xdr:from>
    <xdr:to>
      <xdr:col>7</xdr:col>
      <xdr:colOff>1</xdr:colOff>
      <xdr:row>13</xdr:row>
      <xdr:rowOff>0</xdr:rowOff>
    </xdr:to>
    <xdr:sp macro="" textlink="">
      <xdr:nvSpPr>
        <xdr:cNvPr id="512" name="직사각형 511">
          <a:extLst>
            <a:ext uri="{FF2B5EF4-FFF2-40B4-BE49-F238E27FC236}">
              <a16:creationId xmlns:a16="http://schemas.microsoft.com/office/drawing/2014/main" id="{E92F1A8A-1680-4B08-F41C-FC3D89D5E9F1}"/>
            </a:ext>
          </a:extLst>
        </xdr:cNvPr>
        <xdr:cNvSpPr/>
      </xdr:nvSpPr>
      <xdr:spPr>
        <a:xfrm>
          <a:off x="4023361" y="2724274"/>
          <a:ext cx="670560" cy="217046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489235</xdr:colOff>
      <xdr:row>18</xdr:row>
      <xdr:rowOff>668</xdr:rowOff>
    </xdr:from>
    <xdr:to>
      <xdr:col>7</xdr:col>
      <xdr:colOff>0</xdr:colOff>
      <xdr:row>22</xdr:row>
      <xdr:rowOff>0</xdr:rowOff>
    </xdr:to>
    <xdr:sp macro="" textlink="">
      <xdr:nvSpPr>
        <xdr:cNvPr id="513" name="직사각형 512">
          <a:extLst>
            <a:ext uri="{FF2B5EF4-FFF2-40B4-BE49-F238E27FC236}">
              <a16:creationId xmlns:a16="http://schemas.microsoft.com/office/drawing/2014/main" id="{47CC4A80-6BB9-972C-B9E8-EFD24B8CB37F}"/>
            </a:ext>
          </a:extLst>
        </xdr:cNvPr>
        <xdr:cNvSpPr/>
      </xdr:nvSpPr>
      <xdr:spPr>
        <a:xfrm>
          <a:off x="4538721" y="4017497"/>
          <a:ext cx="185679" cy="870189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0</xdr:colOff>
      <xdr:row>12</xdr:row>
      <xdr:rowOff>120077</xdr:rowOff>
    </xdr:from>
    <xdr:to>
      <xdr:col>6</xdr:col>
      <xdr:colOff>1</xdr:colOff>
      <xdr:row>12</xdr:row>
      <xdr:rowOff>120077</xdr:rowOff>
    </xdr:to>
    <xdr:cxnSp macro="">
      <xdr:nvCxnSpPr>
        <xdr:cNvPr id="514" name="직선 화살표 연결선 513">
          <a:extLst>
            <a:ext uri="{FF2B5EF4-FFF2-40B4-BE49-F238E27FC236}">
              <a16:creationId xmlns:a16="http://schemas.microsoft.com/office/drawing/2014/main" id="{015CD0D8-AA3D-033E-0B3C-F485EE55883C}"/>
            </a:ext>
          </a:extLst>
        </xdr:cNvPr>
        <xdr:cNvCxnSpPr>
          <a:cxnSpLocks/>
          <a:endCxn id="512" idx="1"/>
        </xdr:cNvCxnSpPr>
      </xdr:nvCxnSpPr>
      <xdr:spPr>
        <a:xfrm>
          <a:off x="3352800" y="2832797"/>
          <a:ext cx="670561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132</xdr:col>
      <xdr:colOff>0</xdr:colOff>
      <xdr:row>22</xdr:row>
      <xdr:rowOff>1</xdr:rowOff>
    </xdr:from>
    <xdr:to>
      <xdr:col>140</xdr:col>
      <xdr:colOff>524</xdr:colOff>
      <xdr:row>23</xdr:row>
      <xdr:rowOff>0</xdr:rowOff>
    </xdr:to>
    <xdr:sp macro="" textlink="">
      <xdr:nvSpPr>
        <xdr:cNvPr id="532" name="직사각형 531">
          <a:extLst>
            <a:ext uri="{FF2B5EF4-FFF2-40B4-BE49-F238E27FC236}">
              <a16:creationId xmlns:a16="http://schemas.microsoft.com/office/drawing/2014/main" id="{3E11593E-EA09-4C62-83BC-97870B24AEA0}"/>
            </a:ext>
          </a:extLst>
        </xdr:cNvPr>
        <xdr:cNvSpPr/>
      </xdr:nvSpPr>
      <xdr:spPr>
        <a:xfrm>
          <a:off x="22799040" y="28133041"/>
          <a:ext cx="5365004" cy="213359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132</xdr:col>
      <xdr:colOff>0</xdr:colOff>
      <xdr:row>21</xdr:row>
      <xdr:rowOff>1919</xdr:rowOff>
    </xdr:from>
    <xdr:to>
      <xdr:col>140</xdr:col>
      <xdr:colOff>524</xdr:colOff>
      <xdr:row>22</xdr:row>
      <xdr:rowOff>0</xdr:rowOff>
    </xdr:to>
    <xdr:sp macro="" textlink="">
      <xdr:nvSpPr>
        <xdr:cNvPr id="533" name="직사각형 532">
          <a:extLst>
            <a:ext uri="{FF2B5EF4-FFF2-40B4-BE49-F238E27FC236}">
              <a16:creationId xmlns:a16="http://schemas.microsoft.com/office/drawing/2014/main" id="{B4C0805C-8032-49C8-A16A-6F0FDFC871D6}"/>
            </a:ext>
          </a:extLst>
        </xdr:cNvPr>
        <xdr:cNvSpPr/>
      </xdr:nvSpPr>
      <xdr:spPr>
        <a:xfrm>
          <a:off x="22799040" y="27921599"/>
          <a:ext cx="5365004" cy="211441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132</xdr:col>
      <xdr:colOff>0</xdr:colOff>
      <xdr:row>12</xdr:row>
      <xdr:rowOff>0</xdr:rowOff>
    </xdr:from>
    <xdr:to>
      <xdr:col>140</xdr:col>
      <xdr:colOff>524</xdr:colOff>
      <xdr:row>13</xdr:row>
      <xdr:rowOff>0</xdr:rowOff>
    </xdr:to>
    <xdr:sp macro="" textlink="">
      <xdr:nvSpPr>
        <xdr:cNvPr id="534" name="직사각형 533">
          <a:extLst>
            <a:ext uri="{FF2B5EF4-FFF2-40B4-BE49-F238E27FC236}">
              <a16:creationId xmlns:a16="http://schemas.microsoft.com/office/drawing/2014/main" id="{21D31B11-5FDC-4C24-BD42-5185CC89E8BB}"/>
            </a:ext>
          </a:extLst>
        </xdr:cNvPr>
        <xdr:cNvSpPr/>
      </xdr:nvSpPr>
      <xdr:spPr>
        <a:xfrm>
          <a:off x="22799040" y="25999440"/>
          <a:ext cx="5365004" cy="21336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132</xdr:col>
      <xdr:colOff>0</xdr:colOff>
      <xdr:row>11</xdr:row>
      <xdr:rowOff>1919</xdr:rowOff>
    </xdr:from>
    <xdr:to>
      <xdr:col>140</xdr:col>
      <xdr:colOff>524</xdr:colOff>
      <xdr:row>12</xdr:row>
      <xdr:rowOff>0</xdr:rowOff>
    </xdr:to>
    <xdr:sp macro="" textlink="">
      <xdr:nvSpPr>
        <xdr:cNvPr id="535" name="직사각형 534">
          <a:extLst>
            <a:ext uri="{FF2B5EF4-FFF2-40B4-BE49-F238E27FC236}">
              <a16:creationId xmlns:a16="http://schemas.microsoft.com/office/drawing/2014/main" id="{B59333D8-5B84-43EE-9196-D6C2C5797ACF}"/>
            </a:ext>
          </a:extLst>
        </xdr:cNvPr>
        <xdr:cNvSpPr/>
      </xdr:nvSpPr>
      <xdr:spPr>
        <a:xfrm>
          <a:off x="22799040" y="25787999"/>
          <a:ext cx="5365004" cy="211441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132</xdr:col>
      <xdr:colOff>0</xdr:colOff>
      <xdr:row>7</xdr:row>
      <xdr:rowOff>220579</xdr:rowOff>
    </xdr:from>
    <xdr:to>
      <xdr:col>140</xdr:col>
      <xdr:colOff>524</xdr:colOff>
      <xdr:row>10</xdr:row>
      <xdr:rowOff>218660</xdr:rowOff>
    </xdr:to>
    <xdr:sp macro="" textlink="">
      <xdr:nvSpPr>
        <xdr:cNvPr id="536" name="직사각형 535">
          <a:extLst>
            <a:ext uri="{FF2B5EF4-FFF2-40B4-BE49-F238E27FC236}">
              <a16:creationId xmlns:a16="http://schemas.microsoft.com/office/drawing/2014/main" id="{832DA562-6777-48E4-92E0-6B0C1E8FE543}"/>
            </a:ext>
          </a:extLst>
        </xdr:cNvPr>
        <xdr:cNvSpPr/>
      </xdr:nvSpPr>
      <xdr:spPr>
        <a:xfrm>
          <a:off x="22799040" y="25153219"/>
          <a:ext cx="5365004" cy="638161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132</xdr:col>
      <xdr:colOff>669235</xdr:colOff>
      <xdr:row>8</xdr:row>
      <xdr:rowOff>220579</xdr:rowOff>
    </xdr:from>
    <xdr:to>
      <xdr:col>139</xdr:col>
      <xdr:colOff>1</xdr:colOff>
      <xdr:row>9</xdr:row>
      <xdr:rowOff>218660</xdr:rowOff>
    </xdr:to>
    <xdr:sp macro="" textlink="">
      <xdr:nvSpPr>
        <xdr:cNvPr id="537" name="직사각형 536">
          <a:extLst>
            <a:ext uri="{FF2B5EF4-FFF2-40B4-BE49-F238E27FC236}">
              <a16:creationId xmlns:a16="http://schemas.microsoft.com/office/drawing/2014/main" id="{F1AB0B5B-26D0-4434-BFD5-75A83633F0DA}"/>
            </a:ext>
          </a:extLst>
        </xdr:cNvPr>
        <xdr:cNvSpPr/>
      </xdr:nvSpPr>
      <xdr:spPr>
        <a:xfrm>
          <a:off x="23468275" y="25366579"/>
          <a:ext cx="4024686" cy="21144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132</xdr:col>
      <xdr:colOff>0</xdr:colOff>
      <xdr:row>23</xdr:row>
      <xdr:rowOff>0</xdr:rowOff>
    </xdr:from>
    <xdr:to>
      <xdr:col>140</xdr:col>
      <xdr:colOff>524</xdr:colOff>
      <xdr:row>25</xdr:row>
      <xdr:rowOff>218660</xdr:rowOff>
    </xdr:to>
    <xdr:sp macro="" textlink="">
      <xdr:nvSpPr>
        <xdr:cNvPr id="538" name="직사각형 537">
          <a:extLst>
            <a:ext uri="{FF2B5EF4-FFF2-40B4-BE49-F238E27FC236}">
              <a16:creationId xmlns:a16="http://schemas.microsoft.com/office/drawing/2014/main" id="{7A812041-7C41-4418-AFE2-8DD4A24BCC00}"/>
            </a:ext>
          </a:extLst>
        </xdr:cNvPr>
        <xdr:cNvSpPr/>
      </xdr:nvSpPr>
      <xdr:spPr>
        <a:xfrm>
          <a:off x="22799040" y="28346400"/>
          <a:ext cx="5365004" cy="64538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132</xdr:col>
      <xdr:colOff>669235</xdr:colOff>
      <xdr:row>24</xdr:row>
      <xdr:rowOff>0</xdr:rowOff>
    </xdr:from>
    <xdr:to>
      <xdr:col>139</xdr:col>
      <xdr:colOff>1</xdr:colOff>
      <xdr:row>24</xdr:row>
      <xdr:rowOff>218660</xdr:rowOff>
    </xdr:to>
    <xdr:sp macro="" textlink="">
      <xdr:nvSpPr>
        <xdr:cNvPr id="539" name="직사각형 538">
          <a:extLst>
            <a:ext uri="{FF2B5EF4-FFF2-40B4-BE49-F238E27FC236}">
              <a16:creationId xmlns:a16="http://schemas.microsoft.com/office/drawing/2014/main" id="{51B1D9B3-2E05-4596-8F37-370CAD06709E}"/>
            </a:ext>
          </a:extLst>
        </xdr:cNvPr>
        <xdr:cNvSpPr/>
      </xdr:nvSpPr>
      <xdr:spPr>
        <a:xfrm>
          <a:off x="23468275" y="28559760"/>
          <a:ext cx="4024686" cy="218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131</xdr:col>
      <xdr:colOff>-1</xdr:colOff>
      <xdr:row>12</xdr:row>
      <xdr:rowOff>10886</xdr:rowOff>
    </xdr:from>
    <xdr:to>
      <xdr:col>132</xdr:col>
      <xdr:colOff>0</xdr:colOff>
      <xdr:row>13</xdr:row>
      <xdr:rowOff>0</xdr:rowOff>
    </xdr:to>
    <xdr:sp macro="" textlink="">
      <xdr:nvSpPr>
        <xdr:cNvPr id="541" name="직사각형 540">
          <a:extLst>
            <a:ext uri="{FF2B5EF4-FFF2-40B4-BE49-F238E27FC236}">
              <a16:creationId xmlns:a16="http://schemas.microsoft.com/office/drawing/2014/main" id="{663102D8-9DCB-4819-89F7-C400EE73F640}"/>
            </a:ext>
          </a:extLst>
        </xdr:cNvPr>
        <xdr:cNvSpPr/>
      </xdr:nvSpPr>
      <xdr:spPr>
        <a:xfrm>
          <a:off x="22128479" y="26010326"/>
          <a:ext cx="670561" cy="202474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130</xdr:col>
      <xdr:colOff>669757</xdr:colOff>
      <xdr:row>20</xdr:row>
      <xdr:rowOff>220579</xdr:rowOff>
    </xdr:from>
    <xdr:to>
      <xdr:col>131</xdr:col>
      <xdr:colOff>669757</xdr:colOff>
      <xdr:row>21</xdr:row>
      <xdr:rowOff>220578</xdr:rowOff>
    </xdr:to>
    <xdr:sp macro="" textlink="">
      <xdr:nvSpPr>
        <xdr:cNvPr id="542" name="직사각형 541">
          <a:extLst>
            <a:ext uri="{FF2B5EF4-FFF2-40B4-BE49-F238E27FC236}">
              <a16:creationId xmlns:a16="http://schemas.microsoft.com/office/drawing/2014/main" id="{D9290E72-25CC-4529-A163-A1AD833B9295}"/>
            </a:ext>
          </a:extLst>
        </xdr:cNvPr>
        <xdr:cNvSpPr/>
      </xdr:nvSpPr>
      <xdr:spPr>
        <a:xfrm>
          <a:off x="22127677" y="27926899"/>
          <a:ext cx="670560" cy="213359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140</xdr:col>
      <xdr:colOff>0</xdr:colOff>
      <xdr:row>12</xdr:row>
      <xdr:rowOff>10886</xdr:rowOff>
    </xdr:from>
    <xdr:to>
      <xdr:col>141</xdr:col>
      <xdr:colOff>-1</xdr:colOff>
      <xdr:row>13</xdr:row>
      <xdr:rowOff>0</xdr:rowOff>
    </xdr:to>
    <xdr:sp macro="" textlink="">
      <xdr:nvSpPr>
        <xdr:cNvPr id="543" name="직사각형 542">
          <a:extLst>
            <a:ext uri="{FF2B5EF4-FFF2-40B4-BE49-F238E27FC236}">
              <a16:creationId xmlns:a16="http://schemas.microsoft.com/office/drawing/2014/main" id="{AEBE60B5-0547-4558-8FCE-CC8D4515A978}"/>
            </a:ext>
          </a:extLst>
        </xdr:cNvPr>
        <xdr:cNvSpPr/>
      </xdr:nvSpPr>
      <xdr:spPr>
        <a:xfrm>
          <a:off x="28163520" y="26010326"/>
          <a:ext cx="670559" cy="202474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140</xdr:col>
      <xdr:colOff>0</xdr:colOff>
      <xdr:row>21</xdr:row>
      <xdr:rowOff>1</xdr:rowOff>
    </xdr:from>
    <xdr:to>
      <xdr:col>140</xdr:col>
      <xdr:colOff>669757</xdr:colOff>
      <xdr:row>21</xdr:row>
      <xdr:rowOff>220579</xdr:rowOff>
    </xdr:to>
    <xdr:sp macro="" textlink="">
      <xdr:nvSpPr>
        <xdr:cNvPr id="544" name="직사각형 543">
          <a:extLst>
            <a:ext uri="{FF2B5EF4-FFF2-40B4-BE49-F238E27FC236}">
              <a16:creationId xmlns:a16="http://schemas.microsoft.com/office/drawing/2014/main" id="{5BE2F274-2BAC-43BE-820D-8E3B63D1F07A}"/>
            </a:ext>
          </a:extLst>
        </xdr:cNvPr>
        <xdr:cNvSpPr/>
      </xdr:nvSpPr>
      <xdr:spPr>
        <a:xfrm>
          <a:off x="28163520" y="27919681"/>
          <a:ext cx="669757" cy="220578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116</xdr:col>
      <xdr:colOff>0</xdr:colOff>
      <xdr:row>50</xdr:row>
      <xdr:rowOff>1</xdr:rowOff>
    </xdr:from>
    <xdr:to>
      <xdr:col>124</xdr:col>
      <xdr:colOff>524</xdr:colOff>
      <xdr:row>51</xdr:row>
      <xdr:rowOff>0</xdr:rowOff>
    </xdr:to>
    <xdr:sp macro="" textlink="">
      <xdr:nvSpPr>
        <xdr:cNvPr id="561" name="직사각형 560">
          <a:extLst>
            <a:ext uri="{FF2B5EF4-FFF2-40B4-BE49-F238E27FC236}">
              <a16:creationId xmlns:a16="http://schemas.microsoft.com/office/drawing/2014/main" id="{20BAB3BA-48FC-4A47-BE01-A573FAB49E78}"/>
            </a:ext>
          </a:extLst>
        </xdr:cNvPr>
        <xdr:cNvSpPr/>
      </xdr:nvSpPr>
      <xdr:spPr>
        <a:xfrm>
          <a:off x="22860000" y="5011272"/>
          <a:ext cx="5379348" cy="224116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116</xdr:col>
      <xdr:colOff>0</xdr:colOff>
      <xdr:row>49</xdr:row>
      <xdr:rowOff>1919</xdr:rowOff>
    </xdr:from>
    <xdr:to>
      <xdr:col>124</xdr:col>
      <xdr:colOff>524</xdr:colOff>
      <xdr:row>50</xdr:row>
      <xdr:rowOff>0</xdr:rowOff>
    </xdr:to>
    <xdr:sp macro="" textlink="">
      <xdr:nvSpPr>
        <xdr:cNvPr id="562" name="직사각형 561">
          <a:extLst>
            <a:ext uri="{FF2B5EF4-FFF2-40B4-BE49-F238E27FC236}">
              <a16:creationId xmlns:a16="http://schemas.microsoft.com/office/drawing/2014/main" id="{A2E1EB24-62FC-4A00-A81C-0D671739E628}"/>
            </a:ext>
          </a:extLst>
        </xdr:cNvPr>
        <xdr:cNvSpPr/>
      </xdr:nvSpPr>
      <xdr:spPr>
        <a:xfrm>
          <a:off x="22860000" y="4789072"/>
          <a:ext cx="5379348" cy="222199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116</xdr:col>
      <xdr:colOff>0</xdr:colOff>
      <xdr:row>40</xdr:row>
      <xdr:rowOff>0</xdr:rowOff>
    </xdr:from>
    <xdr:to>
      <xdr:col>124</xdr:col>
      <xdr:colOff>524</xdr:colOff>
      <xdr:row>41</xdr:row>
      <xdr:rowOff>0</xdr:rowOff>
    </xdr:to>
    <xdr:sp macro="" textlink="">
      <xdr:nvSpPr>
        <xdr:cNvPr id="563" name="직사각형 562">
          <a:extLst>
            <a:ext uri="{FF2B5EF4-FFF2-40B4-BE49-F238E27FC236}">
              <a16:creationId xmlns:a16="http://schemas.microsoft.com/office/drawing/2014/main" id="{1B030395-B786-4BD4-9E39-FA044C6C3C6E}"/>
            </a:ext>
          </a:extLst>
        </xdr:cNvPr>
        <xdr:cNvSpPr/>
      </xdr:nvSpPr>
      <xdr:spPr>
        <a:xfrm>
          <a:off x="22860000" y="2761129"/>
          <a:ext cx="5379348" cy="233083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116</xdr:col>
      <xdr:colOff>0</xdr:colOff>
      <xdr:row>39</xdr:row>
      <xdr:rowOff>1919</xdr:rowOff>
    </xdr:from>
    <xdr:to>
      <xdr:col>124</xdr:col>
      <xdr:colOff>524</xdr:colOff>
      <xdr:row>40</xdr:row>
      <xdr:rowOff>0</xdr:rowOff>
    </xdr:to>
    <xdr:sp macro="" textlink="">
      <xdr:nvSpPr>
        <xdr:cNvPr id="564" name="직사각형 563">
          <a:extLst>
            <a:ext uri="{FF2B5EF4-FFF2-40B4-BE49-F238E27FC236}">
              <a16:creationId xmlns:a16="http://schemas.microsoft.com/office/drawing/2014/main" id="{E0E5FB51-4154-4918-BB07-05A299D71673}"/>
            </a:ext>
          </a:extLst>
        </xdr:cNvPr>
        <xdr:cNvSpPr/>
      </xdr:nvSpPr>
      <xdr:spPr>
        <a:xfrm>
          <a:off x="22860000" y="2529966"/>
          <a:ext cx="5379348" cy="231163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116</xdr:col>
      <xdr:colOff>0</xdr:colOff>
      <xdr:row>35</xdr:row>
      <xdr:rowOff>220579</xdr:rowOff>
    </xdr:from>
    <xdr:to>
      <xdr:col>124</xdr:col>
      <xdr:colOff>524</xdr:colOff>
      <xdr:row>38</xdr:row>
      <xdr:rowOff>218660</xdr:rowOff>
    </xdr:to>
    <xdr:sp macro="" textlink="">
      <xdr:nvSpPr>
        <xdr:cNvPr id="565" name="직사각형 564">
          <a:extLst>
            <a:ext uri="{FF2B5EF4-FFF2-40B4-BE49-F238E27FC236}">
              <a16:creationId xmlns:a16="http://schemas.microsoft.com/office/drawing/2014/main" id="{A714CD04-4C8D-4DC2-8F2A-DAF734ED2EB6}"/>
            </a:ext>
          </a:extLst>
        </xdr:cNvPr>
        <xdr:cNvSpPr/>
      </xdr:nvSpPr>
      <xdr:spPr>
        <a:xfrm>
          <a:off x="22860000" y="1825261"/>
          <a:ext cx="5379348" cy="688364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116</xdr:col>
      <xdr:colOff>669235</xdr:colOff>
      <xdr:row>36</xdr:row>
      <xdr:rowOff>220579</xdr:rowOff>
    </xdr:from>
    <xdr:to>
      <xdr:col>123</xdr:col>
      <xdr:colOff>1</xdr:colOff>
      <xdr:row>37</xdr:row>
      <xdr:rowOff>218660</xdr:rowOff>
    </xdr:to>
    <xdr:sp macro="" textlink="">
      <xdr:nvSpPr>
        <xdr:cNvPr id="566" name="직사각형 565">
          <a:extLst>
            <a:ext uri="{FF2B5EF4-FFF2-40B4-BE49-F238E27FC236}">
              <a16:creationId xmlns:a16="http://schemas.microsoft.com/office/drawing/2014/main" id="{8EB4BBBB-5BE6-4B65-850B-69B4C252CFD7}"/>
            </a:ext>
          </a:extLst>
        </xdr:cNvPr>
        <xdr:cNvSpPr/>
      </xdr:nvSpPr>
      <xdr:spPr>
        <a:xfrm>
          <a:off x="23529235" y="2049379"/>
          <a:ext cx="4037237" cy="23116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116</xdr:col>
      <xdr:colOff>0</xdr:colOff>
      <xdr:row>51</xdr:row>
      <xdr:rowOff>0</xdr:rowOff>
    </xdr:from>
    <xdr:to>
      <xdr:col>124</xdr:col>
      <xdr:colOff>524</xdr:colOff>
      <xdr:row>53</xdr:row>
      <xdr:rowOff>218660</xdr:rowOff>
    </xdr:to>
    <xdr:sp macro="" textlink="">
      <xdr:nvSpPr>
        <xdr:cNvPr id="567" name="직사각형 566">
          <a:extLst>
            <a:ext uri="{FF2B5EF4-FFF2-40B4-BE49-F238E27FC236}">
              <a16:creationId xmlns:a16="http://schemas.microsoft.com/office/drawing/2014/main" id="{C243968C-E83E-44B5-BD10-47C431B60D5F}"/>
            </a:ext>
          </a:extLst>
        </xdr:cNvPr>
        <xdr:cNvSpPr/>
      </xdr:nvSpPr>
      <xdr:spPr>
        <a:xfrm>
          <a:off x="22860000" y="5235388"/>
          <a:ext cx="5379348" cy="666896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116</xdr:col>
      <xdr:colOff>669235</xdr:colOff>
      <xdr:row>52</xdr:row>
      <xdr:rowOff>0</xdr:rowOff>
    </xdr:from>
    <xdr:to>
      <xdr:col>123</xdr:col>
      <xdr:colOff>1</xdr:colOff>
      <xdr:row>52</xdr:row>
      <xdr:rowOff>218660</xdr:rowOff>
    </xdr:to>
    <xdr:sp macro="" textlink="">
      <xdr:nvSpPr>
        <xdr:cNvPr id="568" name="직사각형 567">
          <a:extLst>
            <a:ext uri="{FF2B5EF4-FFF2-40B4-BE49-F238E27FC236}">
              <a16:creationId xmlns:a16="http://schemas.microsoft.com/office/drawing/2014/main" id="{6D8963C3-AFFC-49E3-8C1C-4CE2E88E8677}"/>
            </a:ext>
          </a:extLst>
        </xdr:cNvPr>
        <xdr:cNvSpPr/>
      </xdr:nvSpPr>
      <xdr:spPr>
        <a:xfrm>
          <a:off x="23529235" y="5459506"/>
          <a:ext cx="4037237" cy="218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118</xdr:col>
      <xdr:colOff>0</xdr:colOff>
      <xdr:row>42</xdr:row>
      <xdr:rowOff>8965</xdr:rowOff>
    </xdr:from>
    <xdr:to>
      <xdr:col>122</xdr:col>
      <xdr:colOff>0</xdr:colOff>
      <xdr:row>48</xdr:row>
      <xdr:rowOff>0</xdr:rowOff>
    </xdr:to>
    <xdr:sp macro="" textlink="">
      <xdr:nvSpPr>
        <xdr:cNvPr id="569" name="사각형: 둥근 모서리 568">
          <a:extLst>
            <a:ext uri="{FF2B5EF4-FFF2-40B4-BE49-F238E27FC236}">
              <a16:creationId xmlns:a16="http://schemas.microsoft.com/office/drawing/2014/main" id="{8EA13487-F104-41F2-92DC-2F3223C868BE}"/>
            </a:ext>
          </a:extLst>
        </xdr:cNvPr>
        <xdr:cNvSpPr/>
      </xdr:nvSpPr>
      <xdr:spPr>
        <a:xfrm>
          <a:off x="24204706" y="3227294"/>
          <a:ext cx="2689412" cy="1335741"/>
        </a:xfrm>
        <a:prstGeom prst="roundRect">
          <a:avLst/>
        </a:prstGeom>
        <a:ln w="57150">
          <a:solidFill>
            <a:schemeClr val="tx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116</xdr:col>
      <xdr:colOff>0</xdr:colOff>
      <xdr:row>77</xdr:row>
      <xdr:rowOff>1</xdr:rowOff>
    </xdr:from>
    <xdr:to>
      <xdr:col>124</xdr:col>
      <xdr:colOff>524</xdr:colOff>
      <xdr:row>78</xdr:row>
      <xdr:rowOff>0</xdr:rowOff>
    </xdr:to>
    <xdr:sp macro="" textlink="">
      <xdr:nvSpPr>
        <xdr:cNvPr id="574" name="직사각형 573">
          <a:extLst>
            <a:ext uri="{FF2B5EF4-FFF2-40B4-BE49-F238E27FC236}">
              <a16:creationId xmlns:a16="http://schemas.microsoft.com/office/drawing/2014/main" id="{5BFD3E6D-547A-484C-B79B-950AF3A41F79}"/>
            </a:ext>
          </a:extLst>
        </xdr:cNvPr>
        <xdr:cNvSpPr/>
      </xdr:nvSpPr>
      <xdr:spPr>
        <a:xfrm>
          <a:off x="22669500" y="5029201"/>
          <a:ext cx="5334524" cy="228599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116</xdr:col>
      <xdr:colOff>0</xdr:colOff>
      <xdr:row>76</xdr:row>
      <xdr:rowOff>1919</xdr:rowOff>
    </xdr:from>
    <xdr:to>
      <xdr:col>124</xdr:col>
      <xdr:colOff>524</xdr:colOff>
      <xdr:row>77</xdr:row>
      <xdr:rowOff>0</xdr:rowOff>
    </xdr:to>
    <xdr:sp macro="" textlink="">
      <xdr:nvSpPr>
        <xdr:cNvPr id="575" name="직사각형 574">
          <a:extLst>
            <a:ext uri="{FF2B5EF4-FFF2-40B4-BE49-F238E27FC236}">
              <a16:creationId xmlns:a16="http://schemas.microsoft.com/office/drawing/2014/main" id="{33A5CB13-164C-471B-AA10-A5AEB166B6D5}"/>
            </a:ext>
          </a:extLst>
        </xdr:cNvPr>
        <xdr:cNvSpPr/>
      </xdr:nvSpPr>
      <xdr:spPr>
        <a:xfrm>
          <a:off x="22669500" y="4802519"/>
          <a:ext cx="5334524" cy="226681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116</xdr:col>
      <xdr:colOff>0</xdr:colOff>
      <xdr:row>67</xdr:row>
      <xdr:rowOff>0</xdr:rowOff>
    </xdr:from>
    <xdr:to>
      <xdr:col>124</xdr:col>
      <xdr:colOff>524</xdr:colOff>
      <xdr:row>68</xdr:row>
      <xdr:rowOff>0</xdr:rowOff>
    </xdr:to>
    <xdr:sp macro="" textlink="">
      <xdr:nvSpPr>
        <xdr:cNvPr id="576" name="직사각형 575">
          <a:extLst>
            <a:ext uri="{FF2B5EF4-FFF2-40B4-BE49-F238E27FC236}">
              <a16:creationId xmlns:a16="http://schemas.microsoft.com/office/drawing/2014/main" id="{FAAAA54A-2EF4-453D-9C89-F183F54193DD}"/>
            </a:ext>
          </a:extLst>
        </xdr:cNvPr>
        <xdr:cNvSpPr/>
      </xdr:nvSpPr>
      <xdr:spPr>
        <a:xfrm>
          <a:off x="22669500" y="2743200"/>
          <a:ext cx="5334524" cy="22860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116</xdr:col>
      <xdr:colOff>0</xdr:colOff>
      <xdr:row>66</xdr:row>
      <xdr:rowOff>1919</xdr:rowOff>
    </xdr:from>
    <xdr:to>
      <xdr:col>124</xdr:col>
      <xdr:colOff>524</xdr:colOff>
      <xdr:row>67</xdr:row>
      <xdr:rowOff>0</xdr:rowOff>
    </xdr:to>
    <xdr:sp macro="" textlink="">
      <xdr:nvSpPr>
        <xdr:cNvPr id="577" name="직사각형 576">
          <a:extLst>
            <a:ext uri="{FF2B5EF4-FFF2-40B4-BE49-F238E27FC236}">
              <a16:creationId xmlns:a16="http://schemas.microsoft.com/office/drawing/2014/main" id="{A83771CB-3294-4694-98F5-DBFDA1072137}"/>
            </a:ext>
          </a:extLst>
        </xdr:cNvPr>
        <xdr:cNvSpPr/>
      </xdr:nvSpPr>
      <xdr:spPr>
        <a:xfrm>
          <a:off x="22669500" y="2516519"/>
          <a:ext cx="5334524" cy="226681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116</xdr:col>
      <xdr:colOff>0</xdr:colOff>
      <xdr:row>62</xdr:row>
      <xdr:rowOff>220579</xdr:rowOff>
    </xdr:from>
    <xdr:to>
      <xdr:col>124</xdr:col>
      <xdr:colOff>524</xdr:colOff>
      <xdr:row>65</xdr:row>
      <xdr:rowOff>218660</xdr:rowOff>
    </xdr:to>
    <xdr:sp macro="" textlink="">
      <xdr:nvSpPr>
        <xdr:cNvPr id="578" name="직사각형 577">
          <a:extLst>
            <a:ext uri="{FF2B5EF4-FFF2-40B4-BE49-F238E27FC236}">
              <a16:creationId xmlns:a16="http://schemas.microsoft.com/office/drawing/2014/main" id="{7147B95A-2089-4A0B-84AE-8756B6E95262}"/>
            </a:ext>
          </a:extLst>
        </xdr:cNvPr>
        <xdr:cNvSpPr/>
      </xdr:nvSpPr>
      <xdr:spPr>
        <a:xfrm>
          <a:off x="22669500" y="1820779"/>
          <a:ext cx="5334524" cy="683881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116</xdr:col>
      <xdr:colOff>669235</xdr:colOff>
      <xdr:row>63</xdr:row>
      <xdr:rowOff>220579</xdr:rowOff>
    </xdr:from>
    <xdr:to>
      <xdr:col>123</xdr:col>
      <xdr:colOff>1</xdr:colOff>
      <xdr:row>64</xdr:row>
      <xdr:rowOff>218660</xdr:rowOff>
    </xdr:to>
    <xdr:sp macro="" textlink="">
      <xdr:nvSpPr>
        <xdr:cNvPr id="579" name="직사각형 578">
          <a:extLst>
            <a:ext uri="{FF2B5EF4-FFF2-40B4-BE49-F238E27FC236}">
              <a16:creationId xmlns:a16="http://schemas.microsoft.com/office/drawing/2014/main" id="{9E4D7FEC-D837-4755-B5DF-9F999A4758BC}"/>
            </a:ext>
          </a:extLst>
        </xdr:cNvPr>
        <xdr:cNvSpPr/>
      </xdr:nvSpPr>
      <xdr:spPr>
        <a:xfrm>
          <a:off x="23338735" y="2049379"/>
          <a:ext cx="3998016" cy="22668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116</xdr:col>
      <xdr:colOff>0</xdr:colOff>
      <xdr:row>78</xdr:row>
      <xdr:rowOff>0</xdr:rowOff>
    </xdr:from>
    <xdr:to>
      <xdr:col>124</xdr:col>
      <xdr:colOff>524</xdr:colOff>
      <xdr:row>80</xdr:row>
      <xdr:rowOff>218660</xdr:rowOff>
    </xdr:to>
    <xdr:sp macro="" textlink="">
      <xdr:nvSpPr>
        <xdr:cNvPr id="580" name="직사각형 579">
          <a:extLst>
            <a:ext uri="{FF2B5EF4-FFF2-40B4-BE49-F238E27FC236}">
              <a16:creationId xmlns:a16="http://schemas.microsoft.com/office/drawing/2014/main" id="{F6011667-1552-43A0-8FF4-AFE3EFEF6C59}"/>
            </a:ext>
          </a:extLst>
        </xdr:cNvPr>
        <xdr:cNvSpPr/>
      </xdr:nvSpPr>
      <xdr:spPr>
        <a:xfrm>
          <a:off x="22669500" y="5257800"/>
          <a:ext cx="5334524" cy="67586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116</xdr:col>
      <xdr:colOff>669235</xdr:colOff>
      <xdr:row>79</xdr:row>
      <xdr:rowOff>0</xdr:rowOff>
    </xdr:from>
    <xdr:to>
      <xdr:col>123</xdr:col>
      <xdr:colOff>1</xdr:colOff>
      <xdr:row>79</xdr:row>
      <xdr:rowOff>218660</xdr:rowOff>
    </xdr:to>
    <xdr:sp macro="" textlink="">
      <xdr:nvSpPr>
        <xdr:cNvPr id="581" name="직사각형 580">
          <a:extLst>
            <a:ext uri="{FF2B5EF4-FFF2-40B4-BE49-F238E27FC236}">
              <a16:creationId xmlns:a16="http://schemas.microsoft.com/office/drawing/2014/main" id="{DAD82F54-1A46-4D27-BCC3-2EF0710CFCA8}"/>
            </a:ext>
          </a:extLst>
        </xdr:cNvPr>
        <xdr:cNvSpPr/>
      </xdr:nvSpPr>
      <xdr:spPr>
        <a:xfrm>
          <a:off x="23338735" y="5486400"/>
          <a:ext cx="3998016" cy="218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118</xdr:col>
      <xdr:colOff>0</xdr:colOff>
      <xdr:row>69</xdr:row>
      <xdr:rowOff>8965</xdr:rowOff>
    </xdr:from>
    <xdr:to>
      <xdr:col>122</xdr:col>
      <xdr:colOff>0</xdr:colOff>
      <xdr:row>75</xdr:row>
      <xdr:rowOff>0</xdr:rowOff>
    </xdr:to>
    <xdr:sp macro="" textlink="">
      <xdr:nvSpPr>
        <xdr:cNvPr id="582" name="사각형: 둥근 모서리 581">
          <a:extLst>
            <a:ext uri="{FF2B5EF4-FFF2-40B4-BE49-F238E27FC236}">
              <a16:creationId xmlns:a16="http://schemas.microsoft.com/office/drawing/2014/main" id="{5FAC9EB5-CCA1-48EE-977D-9D90DD213FCD}"/>
            </a:ext>
          </a:extLst>
        </xdr:cNvPr>
        <xdr:cNvSpPr/>
      </xdr:nvSpPr>
      <xdr:spPr>
        <a:xfrm>
          <a:off x="24003000" y="3209365"/>
          <a:ext cx="2667000" cy="1362635"/>
        </a:xfrm>
        <a:prstGeom prst="roundRect">
          <a:avLst/>
        </a:prstGeom>
        <a:ln w="57150">
          <a:solidFill>
            <a:schemeClr val="tx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115</xdr:col>
      <xdr:colOff>489235</xdr:colOff>
      <xdr:row>67</xdr:row>
      <xdr:rowOff>13252</xdr:rowOff>
    </xdr:from>
    <xdr:to>
      <xdr:col>116</xdr:col>
      <xdr:colOff>0</xdr:colOff>
      <xdr:row>70</xdr:row>
      <xdr:rowOff>218660</xdr:rowOff>
    </xdr:to>
    <xdr:sp macro="" textlink="">
      <xdr:nvSpPr>
        <xdr:cNvPr id="583" name="직사각형 582">
          <a:extLst>
            <a:ext uri="{FF2B5EF4-FFF2-40B4-BE49-F238E27FC236}">
              <a16:creationId xmlns:a16="http://schemas.microsoft.com/office/drawing/2014/main" id="{BAF845DB-38FC-4DDD-BC45-5A48A636E35A}"/>
            </a:ext>
          </a:extLst>
        </xdr:cNvPr>
        <xdr:cNvSpPr/>
      </xdr:nvSpPr>
      <xdr:spPr>
        <a:xfrm>
          <a:off x="22491985" y="2756452"/>
          <a:ext cx="177515" cy="891208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115</xdr:col>
      <xdr:colOff>489235</xdr:colOff>
      <xdr:row>73</xdr:row>
      <xdr:rowOff>0</xdr:rowOff>
    </xdr:from>
    <xdr:to>
      <xdr:col>116</xdr:col>
      <xdr:colOff>0</xdr:colOff>
      <xdr:row>76</xdr:row>
      <xdr:rowOff>218660</xdr:rowOff>
    </xdr:to>
    <xdr:sp macro="" textlink="">
      <xdr:nvSpPr>
        <xdr:cNvPr id="584" name="직사각형 583">
          <a:extLst>
            <a:ext uri="{FF2B5EF4-FFF2-40B4-BE49-F238E27FC236}">
              <a16:creationId xmlns:a16="http://schemas.microsoft.com/office/drawing/2014/main" id="{2BB83082-581E-44E6-BA96-A87D851B8E19}"/>
            </a:ext>
          </a:extLst>
        </xdr:cNvPr>
        <xdr:cNvSpPr/>
      </xdr:nvSpPr>
      <xdr:spPr>
        <a:xfrm>
          <a:off x="22491985" y="4114800"/>
          <a:ext cx="177515" cy="90446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124</xdr:col>
      <xdr:colOff>0</xdr:colOff>
      <xdr:row>67</xdr:row>
      <xdr:rowOff>13253</xdr:rowOff>
    </xdr:from>
    <xdr:to>
      <xdr:col>124</xdr:col>
      <xdr:colOff>180000</xdr:colOff>
      <xdr:row>71</xdr:row>
      <xdr:rowOff>1</xdr:rowOff>
    </xdr:to>
    <xdr:sp macro="" textlink="">
      <xdr:nvSpPr>
        <xdr:cNvPr id="585" name="직사각형 584">
          <a:extLst>
            <a:ext uri="{FF2B5EF4-FFF2-40B4-BE49-F238E27FC236}">
              <a16:creationId xmlns:a16="http://schemas.microsoft.com/office/drawing/2014/main" id="{C22CC439-451F-45C3-A297-29302CDA93AC}"/>
            </a:ext>
          </a:extLst>
        </xdr:cNvPr>
        <xdr:cNvSpPr/>
      </xdr:nvSpPr>
      <xdr:spPr>
        <a:xfrm>
          <a:off x="28003500" y="2756453"/>
          <a:ext cx="180000" cy="901148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124</xdr:col>
      <xdr:colOff>0</xdr:colOff>
      <xdr:row>73</xdr:row>
      <xdr:rowOff>1</xdr:rowOff>
    </xdr:from>
    <xdr:to>
      <xdr:col>124</xdr:col>
      <xdr:colOff>180000</xdr:colOff>
      <xdr:row>77</xdr:row>
      <xdr:rowOff>0</xdr:rowOff>
    </xdr:to>
    <xdr:sp macro="" textlink="">
      <xdr:nvSpPr>
        <xdr:cNvPr id="586" name="직사각형 585">
          <a:extLst>
            <a:ext uri="{FF2B5EF4-FFF2-40B4-BE49-F238E27FC236}">
              <a16:creationId xmlns:a16="http://schemas.microsoft.com/office/drawing/2014/main" id="{B17DFEF3-32A1-4348-9372-60DAE3B46B17}"/>
            </a:ext>
          </a:extLst>
        </xdr:cNvPr>
        <xdr:cNvSpPr/>
      </xdr:nvSpPr>
      <xdr:spPr>
        <a:xfrm>
          <a:off x="28003500" y="4114801"/>
          <a:ext cx="180000" cy="914399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33</xdr:col>
      <xdr:colOff>548402</xdr:colOff>
      <xdr:row>12</xdr:row>
      <xdr:rowOff>61661</xdr:rowOff>
    </xdr:from>
    <xdr:to>
      <xdr:col>34</xdr:col>
      <xdr:colOff>550749</xdr:colOff>
      <xdr:row>13</xdr:row>
      <xdr:rowOff>55129</xdr:rowOff>
    </xdr:to>
    <xdr:sp macro="" textlink="">
      <xdr:nvSpPr>
        <xdr:cNvPr id="587" name="직사각형 586">
          <a:extLst>
            <a:ext uri="{FF2B5EF4-FFF2-40B4-BE49-F238E27FC236}">
              <a16:creationId xmlns:a16="http://schemas.microsoft.com/office/drawing/2014/main" id="{14DADE00-717D-4AD6-AF9A-9C01E34BCB0B}"/>
            </a:ext>
          </a:extLst>
        </xdr:cNvPr>
        <xdr:cNvSpPr/>
      </xdr:nvSpPr>
      <xdr:spPr>
        <a:xfrm>
          <a:off x="22676882" y="2774381"/>
          <a:ext cx="672907" cy="222068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33</xdr:col>
      <xdr:colOff>550749</xdr:colOff>
      <xdr:row>21</xdr:row>
      <xdr:rowOff>54041</xdr:rowOff>
    </xdr:from>
    <xdr:to>
      <xdr:col>34</xdr:col>
      <xdr:colOff>549364</xdr:colOff>
      <xdr:row>22</xdr:row>
      <xdr:rowOff>55129</xdr:rowOff>
    </xdr:to>
    <xdr:sp macro="" textlink="">
      <xdr:nvSpPr>
        <xdr:cNvPr id="588" name="직사각형 587">
          <a:extLst>
            <a:ext uri="{FF2B5EF4-FFF2-40B4-BE49-F238E27FC236}">
              <a16:creationId xmlns:a16="http://schemas.microsoft.com/office/drawing/2014/main" id="{E0C7F34E-191C-4939-8D2C-9AA44F726313}"/>
            </a:ext>
          </a:extLst>
        </xdr:cNvPr>
        <xdr:cNvSpPr/>
      </xdr:nvSpPr>
      <xdr:spPr>
        <a:xfrm>
          <a:off x="22679229" y="4763201"/>
          <a:ext cx="669175" cy="222068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42</xdr:col>
      <xdr:colOff>550750</xdr:colOff>
      <xdr:row>12</xdr:row>
      <xdr:rowOff>62353</xdr:rowOff>
    </xdr:from>
    <xdr:to>
      <xdr:col>43</xdr:col>
      <xdr:colOff>550749</xdr:colOff>
      <xdr:row>13</xdr:row>
      <xdr:rowOff>54041</xdr:rowOff>
    </xdr:to>
    <xdr:sp macro="" textlink="">
      <xdr:nvSpPr>
        <xdr:cNvPr id="589" name="직사각형 588">
          <a:extLst>
            <a:ext uri="{FF2B5EF4-FFF2-40B4-BE49-F238E27FC236}">
              <a16:creationId xmlns:a16="http://schemas.microsoft.com/office/drawing/2014/main" id="{BE75DFED-F385-4339-9998-2FC6377DFF52}"/>
            </a:ext>
          </a:extLst>
        </xdr:cNvPr>
        <xdr:cNvSpPr/>
      </xdr:nvSpPr>
      <xdr:spPr>
        <a:xfrm>
          <a:off x="28714270" y="2775073"/>
          <a:ext cx="670559" cy="220288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42</xdr:col>
      <xdr:colOff>547395</xdr:colOff>
      <xdr:row>21</xdr:row>
      <xdr:rowOff>55136</xdr:rowOff>
    </xdr:from>
    <xdr:to>
      <xdr:col>43</xdr:col>
      <xdr:colOff>550749</xdr:colOff>
      <xdr:row>22</xdr:row>
      <xdr:rowOff>54041</xdr:rowOff>
    </xdr:to>
    <xdr:sp macro="" textlink="">
      <xdr:nvSpPr>
        <xdr:cNvPr id="590" name="직사각형 589">
          <a:extLst>
            <a:ext uri="{FF2B5EF4-FFF2-40B4-BE49-F238E27FC236}">
              <a16:creationId xmlns:a16="http://schemas.microsoft.com/office/drawing/2014/main" id="{70A4A837-93C9-4905-8252-2799CD750B4C}"/>
            </a:ext>
          </a:extLst>
        </xdr:cNvPr>
        <xdr:cNvSpPr/>
      </xdr:nvSpPr>
      <xdr:spPr>
        <a:xfrm>
          <a:off x="28710915" y="4764296"/>
          <a:ext cx="673914" cy="219885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115</xdr:col>
      <xdr:colOff>1358</xdr:colOff>
      <xdr:row>40</xdr:row>
      <xdr:rowOff>0</xdr:rowOff>
    </xdr:from>
    <xdr:to>
      <xdr:col>116</xdr:col>
      <xdr:colOff>0</xdr:colOff>
      <xdr:row>41</xdr:row>
      <xdr:rowOff>8707</xdr:rowOff>
    </xdr:to>
    <xdr:sp macro="" textlink="">
      <xdr:nvSpPr>
        <xdr:cNvPr id="591" name="직사각형 590">
          <a:extLst>
            <a:ext uri="{FF2B5EF4-FFF2-40B4-BE49-F238E27FC236}">
              <a16:creationId xmlns:a16="http://schemas.microsoft.com/office/drawing/2014/main" id="{DCD686BE-86BE-4A46-A4C7-C0B9BD689650}"/>
            </a:ext>
          </a:extLst>
        </xdr:cNvPr>
        <xdr:cNvSpPr/>
      </xdr:nvSpPr>
      <xdr:spPr>
        <a:xfrm>
          <a:off x="44301120" y="56057260"/>
          <a:ext cx="669850" cy="22920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115</xdr:col>
      <xdr:colOff>0</xdr:colOff>
      <xdr:row>48</xdr:row>
      <xdr:rowOff>206829</xdr:rowOff>
    </xdr:from>
    <xdr:to>
      <xdr:col>116</xdr:col>
      <xdr:colOff>2321</xdr:colOff>
      <xdr:row>49</xdr:row>
      <xdr:rowOff>218315</xdr:rowOff>
    </xdr:to>
    <xdr:sp macro="" textlink="">
      <xdr:nvSpPr>
        <xdr:cNvPr id="592" name="직사각형 591">
          <a:extLst>
            <a:ext uri="{FF2B5EF4-FFF2-40B4-BE49-F238E27FC236}">
              <a16:creationId xmlns:a16="http://schemas.microsoft.com/office/drawing/2014/main" id="{E141D36E-946E-49B0-BC3B-A48CB2122955}"/>
            </a:ext>
          </a:extLst>
        </xdr:cNvPr>
        <xdr:cNvSpPr/>
      </xdr:nvSpPr>
      <xdr:spPr>
        <a:xfrm>
          <a:off x="44299762" y="58037765"/>
          <a:ext cx="673529" cy="23198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124</xdr:col>
      <xdr:colOff>1</xdr:colOff>
      <xdr:row>40</xdr:row>
      <xdr:rowOff>8312</xdr:rowOff>
    </xdr:from>
    <xdr:to>
      <xdr:col>124</xdr:col>
      <xdr:colOff>671208</xdr:colOff>
      <xdr:row>40</xdr:row>
      <xdr:rowOff>220492</xdr:rowOff>
    </xdr:to>
    <xdr:sp macro="" textlink="">
      <xdr:nvSpPr>
        <xdr:cNvPr id="593" name="직사각형 592">
          <a:extLst>
            <a:ext uri="{FF2B5EF4-FFF2-40B4-BE49-F238E27FC236}">
              <a16:creationId xmlns:a16="http://schemas.microsoft.com/office/drawing/2014/main" id="{63F2D571-A700-44E6-90B6-26ED65CE621D}"/>
            </a:ext>
          </a:extLst>
        </xdr:cNvPr>
        <xdr:cNvSpPr/>
      </xdr:nvSpPr>
      <xdr:spPr>
        <a:xfrm>
          <a:off x="50340639" y="56065572"/>
          <a:ext cx="671207" cy="21218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123</xdr:col>
      <xdr:colOff>667206</xdr:colOff>
      <xdr:row>48</xdr:row>
      <xdr:rowOff>207924</xdr:rowOff>
    </xdr:from>
    <xdr:to>
      <xdr:col>124</xdr:col>
      <xdr:colOff>671208</xdr:colOff>
      <xdr:row>49</xdr:row>
      <xdr:rowOff>206828</xdr:rowOff>
    </xdr:to>
    <xdr:sp macro="" textlink="">
      <xdr:nvSpPr>
        <xdr:cNvPr id="594" name="직사각형 593">
          <a:extLst>
            <a:ext uri="{FF2B5EF4-FFF2-40B4-BE49-F238E27FC236}">
              <a16:creationId xmlns:a16="http://schemas.microsoft.com/office/drawing/2014/main" id="{B9597BE9-18E3-4D3F-BAAC-F4B752A36078}"/>
            </a:ext>
          </a:extLst>
        </xdr:cNvPr>
        <xdr:cNvSpPr/>
      </xdr:nvSpPr>
      <xdr:spPr>
        <a:xfrm>
          <a:off x="50336636" y="58038860"/>
          <a:ext cx="675210" cy="219398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136</xdr:col>
      <xdr:colOff>0</xdr:colOff>
      <xdr:row>28</xdr:row>
      <xdr:rowOff>0</xdr:rowOff>
    </xdr:from>
    <xdr:to>
      <xdr:col>136</xdr:col>
      <xdr:colOff>0</xdr:colOff>
      <xdr:row>240</xdr:row>
      <xdr:rowOff>0</xdr:rowOff>
    </xdr:to>
    <xdr:cxnSp macro="">
      <xdr:nvCxnSpPr>
        <xdr:cNvPr id="611" name="직선 연결선 610">
          <a:extLst>
            <a:ext uri="{FF2B5EF4-FFF2-40B4-BE49-F238E27FC236}">
              <a16:creationId xmlns:a16="http://schemas.microsoft.com/office/drawing/2014/main" id="{F8F64179-26AB-8068-7327-0D516E32BC39}"/>
            </a:ext>
          </a:extLst>
        </xdr:cNvPr>
        <xdr:cNvCxnSpPr/>
      </xdr:nvCxnSpPr>
      <xdr:spPr>
        <a:xfrm>
          <a:off x="90678000" y="6400800"/>
          <a:ext cx="0" cy="484632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151</xdr:col>
      <xdr:colOff>17928</xdr:colOff>
      <xdr:row>164</xdr:row>
      <xdr:rowOff>0</xdr:rowOff>
    </xdr:from>
    <xdr:to>
      <xdr:col>153</xdr:col>
      <xdr:colOff>25323</xdr:colOff>
      <xdr:row>183</xdr:row>
      <xdr:rowOff>1</xdr:rowOff>
    </xdr:to>
    <xdr:sp macro="" textlink="">
      <xdr:nvSpPr>
        <xdr:cNvPr id="682" name="화살표: 오른쪽 681">
          <a:extLst>
            <a:ext uri="{FF2B5EF4-FFF2-40B4-BE49-F238E27FC236}">
              <a16:creationId xmlns:a16="http://schemas.microsoft.com/office/drawing/2014/main" id="{A08AA443-1A97-BE83-C02E-6E42A91D9B23}"/>
            </a:ext>
          </a:extLst>
        </xdr:cNvPr>
        <xdr:cNvSpPr/>
      </xdr:nvSpPr>
      <xdr:spPr>
        <a:xfrm rot="5400000">
          <a:off x="100085672" y="38499715"/>
          <a:ext cx="4267201" cy="1352101"/>
        </a:xfrm>
        <a:prstGeom prst="rightArrow">
          <a:avLst/>
        </a:prstGeom>
        <a:solidFill>
          <a:schemeClr val="bg1">
            <a:lumMod val="95000"/>
          </a:schemeClr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148</xdr:col>
      <xdr:colOff>0</xdr:colOff>
      <xdr:row>122</xdr:row>
      <xdr:rowOff>1</xdr:rowOff>
    </xdr:from>
    <xdr:to>
      <xdr:col>156</xdr:col>
      <xdr:colOff>524</xdr:colOff>
      <xdr:row>123</xdr:row>
      <xdr:rowOff>0</xdr:rowOff>
    </xdr:to>
    <xdr:sp macro="" textlink="">
      <xdr:nvSpPr>
        <xdr:cNvPr id="698" name="직사각형 697">
          <a:extLst>
            <a:ext uri="{FF2B5EF4-FFF2-40B4-BE49-F238E27FC236}">
              <a16:creationId xmlns:a16="http://schemas.microsoft.com/office/drawing/2014/main" id="{23F401D3-1B58-47E8-8DB5-A527F47E5070}"/>
            </a:ext>
          </a:extLst>
        </xdr:cNvPr>
        <xdr:cNvSpPr/>
      </xdr:nvSpPr>
      <xdr:spPr>
        <a:xfrm>
          <a:off x="148864320" y="51816001"/>
          <a:ext cx="5365004" cy="213359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148</xdr:col>
      <xdr:colOff>0</xdr:colOff>
      <xdr:row>121</xdr:row>
      <xdr:rowOff>1919</xdr:rowOff>
    </xdr:from>
    <xdr:to>
      <xdr:col>156</xdr:col>
      <xdr:colOff>524</xdr:colOff>
      <xdr:row>122</xdr:row>
      <xdr:rowOff>0</xdr:rowOff>
    </xdr:to>
    <xdr:sp macro="" textlink="">
      <xdr:nvSpPr>
        <xdr:cNvPr id="699" name="직사각형 698">
          <a:extLst>
            <a:ext uri="{FF2B5EF4-FFF2-40B4-BE49-F238E27FC236}">
              <a16:creationId xmlns:a16="http://schemas.microsoft.com/office/drawing/2014/main" id="{4CB33981-1F82-4A64-B918-AB0C55D76AD3}"/>
            </a:ext>
          </a:extLst>
        </xdr:cNvPr>
        <xdr:cNvSpPr/>
      </xdr:nvSpPr>
      <xdr:spPr>
        <a:xfrm>
          <a:off x="148864320" y="51604559"/>
          <a:ext cx="5365004" cy="211441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148</xdr:col>
      <xdr:colOff>0</xdr:colOff>
      <xdr:row>112</xdr:row>
      <xdr:rowOff>0</xdr:rowOff>
    </xdr:from>
    <xdr:to>
      <xdr:col>156</xdr:col>
      <xdr:colOff>524</xdr:colOff>
      <xdr:row>113</xdr:row>
      <xdr:rowOff>0</xdr:rowOff>
    </xdr:to>
    <xdr:sp macro="" textlink="">
      <xdr:nvSpPr>
        <xdr:cNvPr id="700" name="직사각형 699">
          <a:extLst>
            <a:ext uri="{FF2B5EF4-FFF2-40B4-BE49-F238E27FC236}">
              <a16:creationId xmlns:a16="http://schemas.microsoft.com/office/drawing/2014/main" id="{063EA7D0-7F99-4091-B952-B33FC6858730}"/>
            </a:ext>
          </a:extLst>
        </xdr:cNvPr>
        <xdr:cNvSpPr/>
      </xdr:nvSpPr>
      <xdr:spPr>
        <a:xfrm>
          <a:off x="148864320" y="49682400"/>
          <a:ext cx="5365004" cy="21336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148</xdr:col>
      <xdr:colOff>0</xdr:colOff>
      <xdr:row>111</xdr:row>
      <xdr:rowOff>1919</xdr:rowOff>
    </xdr:from>
    <xdr:to>
      <xdr:col>156</xdr:col>
      <xdr:colOff>524</xdr:colOff>
      <xdr:row>112</xdr:row>
      <xdr:rowOff>0</xdr:rowOff>
    </xdr:to>
    <xdr:sp macro="" textlink="">
      <xdr:nvSpPr>
        <xdr:cNvPr id="701" name="직사각형 700">
          <a:extLst>
            <a:ext uri="{FF2B5EF4-FFF2-40B4-BE49-F238E27FC236}">
              <a16:creationId xmlns:a16="http://schemas.microsoft.com/office/drawing/2014/main" id="{F5181BCD-9679-4DB1-A6B9-5E3EADEF32F3}"/>
            </a:ext>
          </a:extLst>
        </xdr:cNvPr>
        <xdr:cNvSpPr/>
      </xdr:nvSpPr>
      <xdr:spPr>
        <a:xfrm>
          <a:off x="148864320" y="49470959"/>
          <a:ext cx="5365004" cy="211441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148</xdr:col>
      <xdr:colOff>0</xdr:colOff>
      <xdr:row>108</xdr:row>
      <xdr:rowOff>7219</xdr:rowOff>
    </xdr:from>
    <xdr:to>
      <xdr:col>156</xdr:col>
      <xdr:colOff>524</xdr:colOff>
      <xdr:row>111</xdr:row>
      <xdr:rowOff>5300</xdr:rowOff>
    </xdr:to>
    <xdr:sp macro="" textlink="">
      <xdr:nvSpPr>
        <xdr:cNvPr id="702" name="직사각형 701">
          <a:extLst>
            <a:ext uri="{FF2B5EF4-FFF2-40B4-BE49-F238E27FC236}">
              <a16:creationId xmlns:a16="http://schemas.microsoft.com/office/drawing/2014/main" id="{DC099908-37FA-486B-A05C-DDC85BB22396}"/>
            </a:ext>
          </a:extLst>
        </xdr:cNvPr>
        <xdr:cNvSpPr/>
      </xdr:nvSpPr>
      <xdr:spPr>
        <a:xfrm>
          <a:off x="148864320" y="48836179"/>
          <a:ext cx="5365004" cy="638161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148</xdr:col>
      <xdr:colOff>669235</xdr:colOff>
      <xdr:row>108</xdr:row>
      <xdr:rowOff>220579</xdr:rowOff>
    </xdr:from>
    <xdr:to>
      <xdr:col>155</xdr:col>
      <xdr:colOff>1</xdr:colOff>
      <xdr:row>109</xdr:row>
      <xdr:rowOff>218660</xdr:rowOff>
    </xdr:to>
    <xdr:sp macro="" textlink="">
      <xdr:nvSpPr>
        <xdr:cNvPr id="703" name="직사각형 702">
          <a:extLst>
            <a:ext uri="{FF2B5EF4-FFF2-40B4-BE49-F238E27FC236}">
              <a16:creationId xmlns:a16="http://schemas.microsoft.com/office/drawing/2014/main" id="{EBF792DF-EE4B-4335-96C0-41F532C020AB}"/>
            </a:ext>
          </a:extLst>
        </xdr:cNvPr>
        <xdr:cNvSpPr/>
      </xdr:nvSpPr>
      <xdr:spPr>
        <a:xfrm>
          <a:off x="149533555" y="49049539"/>
          <a:ext cx="4024686" cy="21144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148</xdr:col>
      <xdr:colOff>0</xdr:colOff>
      <xdr:row>123</xdr:row>
      <xdr:rowOff>0</xdr:rowOff>
    </xdr:from>
    <xdr:to>
      <xdr:col>156</xdr:col>
      <xdr:colOff>524</xdr:colOff>
      <xdr:row>125</xdr:row>
      <xdr:rowOff>218660</xdr:rowOff>
    </xdr:to>
    <xdr:sp macro="" textlink="">
      <xdr:nvSpPr>
        <xdr:cNvPr id="704" name="직사각형 703">
          <a:extLst>
            <a:ext uri="{FF2B5EF4-FFF2-40B4-BE49-F238E27FC236}">
              <a16:creationId xmlns:a16="http://schemas.microsoft.com/office/drawing/2014/main" id="{2FD9D035-6C2A-4D93-89D3-68ACE4A38E2C}"/>
            </a:ext>
          </a:extLst>
        </xdr:cNvPr>
        <xdr:cNvSpPr/>
      </xdr:nvSpPr>
      <xdr:spPr>
        <a:xfrm>
          <a:off x="148864320" y="52029360"/>
          <a:ext cx="5365004" cy="64538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148</xdr:col>
      <xdr:colOff>669235</xdr:colOff>
      <xdr:row>124</xdr:row>
      <xdr:rowOff>0</xdr:rowOff>
    </xdr:from>
    <xdr:to>
      <xdr:col>155</xdr:col>
      <xdr:colOff>1</xdr:colOff>
      <xdr:row>124</xdr:row>
      <xdr:rowOff>218660</xdr:rowOff>
    </xdr:to>
    <xdr:sp macro="" textlink="">
      <xdr:nvSpPr>
        <xdr:cNvPr id="705" name="직사각형 704">
          <a:extLst>
            <a:ext uri="{FF2B5EF4-FFF2-40B4-BE49-F238E27FC236}">
              <a16:creationId xmlns:a16="http://schemas.microsoft.com/office/drawing/2014/main" id="{779EF3CC-ABD2-4DE7-98AF-5BEC10C13D63}"/>
            </a:ext>
          </a:extLst>
        </xdr:cNvPr>
        <xdr:cNvSpPr/>
      </xdr:nvSpPr>
      <xdr:spPr>
        <a:xfrm>
          <a:off x="149533555" y="52242720"/>
          <a:ext cx="4024686" cy="218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147</xdr:col>
      <xdr:colOff>1</xdr:colOff>
      <xdr:row>112</xdr:row>
      <xdr:rowOff>0</xdr:rowOff>
    </xdr:from>
    <xdr:to>
      <xdr:col>148</xdr:col>
      <xdr:colOff>1</xdr:colOff>
      <xdr:row>113</xdr:row>
      <xdr:rowOff>0</xdr:rowOff>
    </xdr:to>
    <xdr:sp macro="" textlink="">
      <xdr:nvSpPr>
        <xdr:cNvPr id="706" name="직사각형 705">
          <a:extLst>
            <a:ext uri="{FF2B5EF4-FFF2-40B4-BE49-F238E27FC236}">
              <a16:creationId xmlns:a16="http://schemas.microsoft.com/office/drawing/2014/main" id="{E42B5B4F-D40E-4B62-AEB0-63740741DB37}"/>
            </a:ext>
          </a:extLst>
        </xdr:cNvPr>
        <xdr:cNvSpPr/>
      </xdr:nvSpPr>
      <xdr:spPr>
        <a:xfrm>
          <a:off x="148193761" y="49682400"/>
          <a:ext cx="670560" cy="21336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147</xdr:col>
      <xdr:colOff>1</xdr:colOff>
      <xdr:row>121</xdr:row>
      <xdr:rowOff>-1</xdr:rowOff>
    </xdr:from>
    <xdr:to>
      <xdr:col>148</xdr:col>
      <xdr:colOff>1</xdr:colOff>
      <xdr:row>122</xdr:row>
      <xdr:rowOff>0</xdr:rowOff>
    </xdr:to>
    <xdr:sp macro="" textlink="">
      <xdr:nvSpPr>
        <xdr:cNvPr id="707" name="직사각형 706">
          <a:extLst>
            <a:ext uri="{FF2B5EF4-FFF2-40B4-BE49-F238E27FC236}">
              <a16:creationId xmlns:a16="http://schemas.microsoft.com/office/drawing/2014/main" id="{18B11CD1-0F81-4C97-B15E-C313AEB61054}"/>
            </a:ext>
          </a:extLst>
        </xdr:cNvPr>
        <xdr:cNvSpPr/>
      </xdr:nvSpPr>
      <xdr:spPr>
        <a:xfrm>
          <a:off x="148193761" y="51602639"/>
          <a:ext cx="670560" cy="213361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156</xdr:col>
      <xdr:colOff>0</xdr:colOff>
      <xdr:row>112</xdr:row>
      <xdr:rowOff>0</xdr:rowOff>
    </xdr:from>
    <xdr:to>
      <xdr:col>157</xdr:col>
      <xdr:colOff>1</xdr:colOff>
      <xdr:row>113</xdr:row>
      <xdr:rowOff>0</xdr:rowOff>
    </xdr:to>
    <xdr:sp macro="" textlink="">
      <xdr:nvSpPr>
        <xdr:cNvPr id="708" name="직사각형 707">
          <a:extLst>
            <a:ext uri="{FF2B5EF4-FFF2-40B4-BE49-F238E27FC236}">
              <a16:creationId xmlns:a16="http://schemas.microsoft.com/office/drawing/2014/main" id="{CD5C3C24-84DE-448A-8427-8666E7A5F8C4}"/>
            </a:ext>
          </a:extLst>
        </xdr:cNvPr>
        <xdr:cNvSpPr/>
      </xdr:nvSpPr>
      <xdr:spPr>
        <a:xfrm>
          <a:off x="154228800" y="49682400"/>
          <a:ext cx="670561" cy="21336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156</xdr:col>
      <xdr:colOff>0</xdr:colOff>
      <xdr:row>121</xdr:row>
      <xdr:rowOff>-1</xdr:rowOff>
    </xdr:from>
    <xdr:to>
      <xdr:col>157</xdr:col>
      <xdr:colOff>1</xdr:colOff>
      <xdr:row>122</xdr:row>
      <xdr:rowOff>0</xdr:rowOff>
    </xdr:to>
    <xdr:sp macro="" textlink="">
      <xdr:nvSpPr>
        <xdr:cNvPr id="709" name="직사각형 708">
          <a:extLst>
            <a:ext uri="{FF2B5EF4-FFF2-40B4-BE49-F238E27FC236}">
              <a16:creationId xmlns:a16="http://schemas.microsoft.com/office/drawing/2014/main" id="{5FF72E06-D70C-4891-8A68-2313585BF3FA}"/>
            </a:ext>
          </a:extLst>
        </xdr:cNvPr>
        <xdr:cNvSpPr/>
      </xdr:nvSpPr>
      <xdr:spPr>
        <a:xfrm>
          <a:off x="154228800" y="51602639"/>
          <a:ext cx="670561" cy="213361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116</xdr:col>
      <xdr:colOff>0</xdr:colOff>
      <xdr:row>122</xdr:row>
      <xdr:rowOff>1</xdr:rowOff>
    </xdr:from>
    <xdr:to>
      <xdr:col>124</xdr:col>
      <xdr:colOff>524</xdr:colOff>
      <xdr:row>123</xdr:row>
      <xdr:rowOff>0</xdr:rowOff>
    </xdr:to>
    <xdr:sp macro="" textlink="">
      <xdr:nvSpPr>
        <xdr:cNvPr id="710" name="직사각형 709">
          <a:extLst>
            <a:ext uri="{FF2B5EF4-FFF2-40B4-BE49-F238E27FC236}">
              <a16:creationId xmlns:a16="http://schemas.microsoft.com/office/drawing/2014/main" id="{B807F08E-3633-4FD3-8569-2B2C2F453293}"/>
            </a:ext>
          </a:extLst>
        </xdr:cNvPr>
        <xdr:cNvSpPr/>
      </xdr:nvSpPr>
      <xdr:spPr>
        <a:xfrm>
          <a:off x="127406400" y="51816001"/>
          <a:ext cx="5365004" cy="213359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116</xdr:col>
      <xdr:colOff>0</xdr:colOff>
      <xdr:row>121</xdr:row>
      <xdr:rowOff>1919</xdr:rowOff>
    </xdr:from>
    <xdr:to>
      <xdr:col>124</xdr:col>
      <xdr:colOff>524</xdr:colOff>
      <xdr:row>122</xdr:row>
      <xdr:rowOff>0</xdr:rowOff>
    </xdr:to>
    <xdr:sp macro="" textlink="">
      <xdr:nvSpPr>
        <xdr:cNvPr id="711" name="직사각형 710">
          <a:extLst>
            <a:ext uri="{FF2B5EF4-FFF2-40B4-BE49-F238E27FC236}">
              <a16:creationId xmlns:a16="http://schemas.microsoft.com/office/drawing/2014/main" id="{1530905E-D2BB-4ABD-BB4B-376A288A7CC5}"/>
            </a:ext>
          </a:extLst>
        </xdr:cNvPr>
        <xdr:cNvSpPr/>
      </xdr:nvSpPr>
      <xdr:spPr>
        <a:xfrm>
          <a:off x="127406400" y="51604559"/>
          <a:ext cx="5365004" cy="211441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116</xdr:col>
      <xdr:colOff>0</xdr:colOff>
      <xdr:row>112</xdr:row>
      <xdr:rowOff>0</xdr:rowOff>
    </xdr:from>
    <xdr:to>
      <xdr:col>124</xdr:col>
      <xdr:colOff>524</xdr:colOff>
      <xdr:row>113</xdr:row>
      <xdr:rowOff>0</xdr:rowOff>
    </xdr:to>
    <xdr:sp macro="" textlink="">
      <xdr:nvSpPr>
        <xdr:cNvPr id="712" name="직사각형 711">
          <a:extLst>
            <a:ext uri="{FF2B5EF4-FFF2-40B4-BE49-F238E27FC236}">
              <a16:creationId xmlns:a16="http://schemas.microsoft.com/office/drawing/2014/main" id="{2CF9D65A-B912-4F57-BDDD-667C70B0945F}"/>
            </a:ext>
          </a:extLst>
        </xdr:cNvPr>
        <xdr:cNvSpPr/>
      </xdr:nvSpPr>
      <xdr:spPr>
        <a:xfrm>
          <a:off x="127406400" y="49682400"/>
          <a:ext cx="5365004" cy="21336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116</xdr:col>
      <xdr:colOff>0</xdr:colOff>
      <xdr:row>111</xdr:row>
      <xdr:rowOff>1919</xdr:rowOff>
    </xdr:from>
    <xdr:to>
      <xdr:col>124</xdr:col>
      <xdr:colOff>524</xdr:colOff>
      <xdr:row>112</xdr:row>
      <xdr:rowOff>0</xdr:rowOff>
    </xdr:to>
    <xdr:sp macro="" textlink="">
      <xdr:nvSpPr>
        <xdr:cNvPr id="713" name="직사각형 712">
          <a:extLst>
            <a:ext uri="{FF2B5EF4-FFF2-40B4-BE49-F238E27FC236}">
              <a16:creationId xmlns:a16="http://schemas.microsoft.com/office/drawing/2014/main" id="{0B58B212-45C4-44BF-B8D6-9246676F7722}"/>
            </a:ext>
          </a:extLst>
        </xdr:cNvPr>
        <xdr:cNvSpPr/>
      </xdr:nvSpPr>
      <xdr:spPr>
        <a:xfrm>
          <a:off x="127406400" y="49470959"/>
          <a:ext cx="5365004" cy="211441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116</xdr:col>
      <xdr:colOff>0</xdr:colOff>
      <xdr:row>107</xdr:row>
      <xdr:rowOff>220579</xdr:rowOff>
    </xdr:from>
    <xdr:to>
      <xdr:col>124</xdr:col>
      <xdr:colOff>524</xdr:colOff>
      <xdr:row>110</xdr:row>
      <xdr:rowOff>218660</xdr:rowOff>
    </xdr:to>
    <xdr:sp macro="" textlink="">
      <xdr:nvSpPr>
        <xdr:cNvPr id="714" name="직사각형 713">
          <a:extLst>
            <a:ext uri="{FF2B5EF4-FFF2-40B4-BE49-F238E27FC236}">
              <a16:creationId xmlns:a16="http://schemas.microsoft.com/office/drawing/2014/main" id="{F9445843-A5E3-40FB-A765-8F3CCE517E3B}"/>
            </a:ext>
          </a:extLst>
        </xdr:cNvPr>
        <xdr:cNvSpPr/>
      </xdr:nvSpPr>
      <xdr:spPr>
        <a:xfrm>
          <a:off x="127406400" y="48836179"/>
          <a:ext cx="5365004" cy="638161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116</xdr:col>
      <xdr:colOff>669235</xdr:colOff>
      <xdr:row>108</xdr:row>
      <xdr:rowOff>220579</xdr:rowOff>
    </xdr:from>
    <xdr:to>
      <xdr:col>123</xdr:col>
      <xdr:colOff>1</xdr:colOff>
      <xdr:row>109</xdr:row>
      <xdr:rowOff>218660</xdr:rowOff>
    </xdr:to>
    <xdr:sp macro="" textlink="">
      <xdr:nvSpPr>
        <xdr:cNvPr id="715" name="직사각형 714">
          <a:extLst>
            <a:ext uri="{FF2B5EF4-FFF2-40B4-BE49-F238E27FC236}">
              <a16:creationId xmlns:a16="http://schemas.microsoft.com/office/drawing/2014/main" id="{4C334E3A-1847-449D-8228-36AC346C5279}"/>
            </a:ext>
          </a:extLst>
        </xdr:cNvPr>
        <xdr:cNvSpPr/>
      </xdr:nvSpPr>
      <xdr:spPr>
        <a:xfrm>
          <a:off x="128075635" y="49049539"/>
          <a:ext cx="4024686" cy="21144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116</xdr:col>
      <xdr:colOff>0</xdr:colOff>
      <xdr:row>123</xdr:row>
      <xdr:rowOff>0</xdr:rowOff>
    </xdr:from>
    <xdr:to>
      <xdr:col>124</xdr:col>
      <xdr:colOff>524</xdr:colOff>
      <xdr:row>125</xdr:row>
      <xdr:rowOff>218660</xdr:rowOff>
    </xdr:to>
    <xdr:sp macro="" textlink="">
      <xdr:nvSpPr>
        <xdr:cNvPr id="716" name="직사각형 715">
          <a:extLst>
            <a:ext uri="{FF2B5EF4-FFF2-40B4-BE49-F238E27FC236}">
              <a16:creationId xmlns:a16="http://schemas.microsoft.com/office/drawing/2014/main" id="{C974DA13-2D6F-4B2B-820B-C0E1DE67BB7E}"/>
            </a:ext>
          </a:extLst>
        </xdr:cNvPr>
        <xdr:cNvSpPr/>
      </xdr:nvSpPr>
      <xdr:spPr>
        <a:xfrm>
          <a:off x="127406400" y="52029360"/>
          <a:ext cx="5365004" cy="64538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116</xdr:col>
      <xdr:colOff>669235</xdr:colOff>
      <xdr:row>124</xdr:row>
      <xdr:rowOff>0</xdr:rowOff>
    </xdr:from>
    <xdr:to>
      <xdr:col>123</xdr:col>
      <xdr:colOff>1</xdr:colOff>
      <xdr:row>124</xdr:row>
      <xdr:rowOff>218660</xdr:rowOff>
    </xdr:to>
    <xdr:sp macro="" textlink="">
      <xdr:nvSpPr>
        <xdr:cNvPr id="717" name="직사각형 716">
          <a:extLst>
            <a:ext uri="{FF2B5EF4-FFF2-40B4-BE49-F238E27FC236}">
              <a16:creationId xmlns:a16="http://schemas.microsoft.com/office/drawing/2014/main" id="{9B16F06B-0D32-4330-93BB-D496BF2E1A0B}"/>
            </a:ext>
          </a:extLst>
        </xdr:cNvPr>
        <xdr:cNvSpPr/>
      </xdr:nvSpPr>
      <xdr:spPr>
        <a:xfrm>
          <a:off x="128075635" y="52242720"/>
          <a:ext cx="4024686" cy="218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118</xdr:col>
      <xdr:colOff>0</xdr:colOff>
      <xdr:row>114</xdr:row>
      <xdr:rowOff>8965</xdr:rowOff>
    </xdr:from>
    <xdr:to>
      <xdr:col>122</xdr:col>
      <xdr:colOff>0</xdr:colOff>
      <xdr:row>120</xdr:row>
      <xdr:rowOff>0</xdr:rowOff>
    </xdr:to>
    <xdr:sp macro="" textlink="">
      <xdr:nvSpPr>
        <xdr:cNvPr id="718" name="사각형: 둥근 모서리 717">
          <a:extLst>
            <a:ext uri="{FF2B5EF4-FFF2-40B4-BE49-F238E27FC236}">
              <a16:creationId xmlns:a16="http://schemas.microsoft.com/office/drawing/2014/main" id="{A4EE2F35-A8DC-4920-8A86-3DFCFB946352}"/>
            </a:ext>
          </a:extLst>
        </xdr:cNvPr>
        <xdr:cNvSpPr/>
      </xdr:nvSpPr>
      <xdr:spPr>
        <a:xfrm>
          <a:off x="128747520" y="50118085"/>
          <a:ext cx="2682240" cy="1271195"/>
        </a:xfrm>
        <a:prstGeom prst="roundRect">
          <a:avLst/>
        </a:prstGeom>
        <a:ln w="57150">
          <a:solidFill>
            <a:schemeClr val="tx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115</xdr:col>
      <xdr:colOff>489235</xdr:colOff>
      <xdr:row>112</xdr:row>
      <xdr:rowOff>13252</xdr:rowOff>
    </xdr:from>
    <xdr:to>
      <xdr:col>116</xdr:col>
      <xdr:colOff>0</xdr:colOff>
      <xdr:row>115</xdr:row>
      <xdr:rowOff>218660</xdr:rowOff>
    </xdr:to>
    <xdr:sp macro="" textlink="">
      <xdr:nvSpPr>
        <xdr:cNvPr id="719" name="직사각형 718">
          <a:extLst>
            <a:ext uri="{FF2B5EF4-FFF2-40B4-BE49-F238E27FC236}">
              <a16:creationId xmlns:a16="http://schemas.microsoft.com/office/drawing/2014/main" id="{F01355F5-9082-49CA-B427-EE83ED6CDB37}"/>
            </a:ext>
          </a:extLst>
        </xdr:cNvPr>
        <xdr:cNvSpPr/>
      </xdr:nvSpPr>
      <xdr:spPr>
        <a:xfrm>
          <a:off x="127225075" y="49695652"/>
          <a:ext cx="181325" cy="845488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115</xdr:col>
      <xdr:colOff>489235</xdr:colOff>
      <xdr:row>118</xdr:row>
      <xdr:rowOff>0</xdr:rowOff>
    </xdr:from>
    <xdr:to>
      <xdr:col>116</xdr:col>
      <xdr:colOff>0</xdr:colOff>
      <xdr:row>121</xdr:row>
      <xdr:rowOff>218660</xdr:rowOff>
    </xdr:to>
    <xdr:sp macro="" textlink="">
      <xdr:nvSpPr>
        <xdr:cNvPr id="720" name="직사각형 719">
          <a:extLst>
            <a:ext uri="{FF2B5EF4-FFF2-40B4-BE49-F238E27FC236}">
              <a16:creationId xmlns:a16="http://schemas.microsoft.com/office/drawing/2014/main" id="{D9AC9EC0-6E6D-4B1D-8308-29AF30B3FCBC}"/>
            </a:ext>
          </a:extLst>
        </xdr:cNvPr>
        <xdr:cNvSpPr/>
      </xdr:nvSpPr>
      <xdr:spPr>
        <a:xfrm>
          <a:off x="127225075" y="50962560"/>
          <a:ext cx="181325" cy="85874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124</xdr:col>
      <xdr:colOff>0</xdr:colOff>
      <xdr:row>112</xdr:row>
      <xdr:rowOff>13253</xdr:rowOff>
    </xdr:from>
    <xdr:to>
      <xdr:col>124</xdr:col>
      <xdr:colOff>180000</xdr:colOff>
      <xdr:row>116</xdr:row>
      <xdr:rowOff>1</xdr:rowOff>
    </xdr:to>
    <xdr:sp macro="" textlink="">
      <xdr:nvSpPr>
        <xdr:cNvPr id="721" name="직사각형 720">
          <a:extLst>
            <a:ext uri="{FF2B5EF4-FFF2-40B4-BE49-F238E27FC236}">
              <a16:creationId xmlns:a16="http://schemas.microsoft.com/office/drawing/2014/main" id="{989ECE42-71F6-48DE-92FC-110195293495}"/>
            </a:ext>
          </a:extLst>
        </xdr:cNvPr>
        <xdr:cNvSpPr/>
      </xdr:nvSpPr>
      <xdr:spPr>
        <a:xfrm>
          <a:off x="132770880" y="49695653"/>
          <a:ext cx="180000" cy="840188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124</xdr:col>
      <xdr:colOff>0</xdr:colOff>
      <xdr:row>118</xdr:row>
      <xdr:rowOff>1</xdr:rowOff>
    </xdr:from>
    <xdr:to>
      <xdr:col>124</xdr:col>
      <xdr:colOff>180000</xdr:colOff>
      <xdr:row>122</xdr:row>
      <xdr:rowOff>0</xdr:rowOff>
    </xdr:to>
    <xdr:sp macro="" textlink="">
      <xdr:nvSpPr>
        <xdr:cNvPr id="722" name="직사각형 721">
          <a:extLst>
            <a:ext uri="{FF2B5EF4-FFF2-40B4-BE49-F238E27FC236}">
              <a16:creationId xmlns:a16="http://schemas.microsoft.com/office/drawing/2014/main" id="{E5263529-2181-4715-8E79-FDD00455C6D0}"/>
            </a:ext>
          </a:extLst>
        </xdr:cNvPr>
        <xdr:cNvSpPr/>
      </xdr:nvSpPr>
      <xdr:spPr>
        <a:xfrm>
          <a:off x="132770880" y="50962561"/>
          <a:ext cx="180000" cy="853439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118</xdr:col>
      <xdr:colOff>664958</xdr:colOff>
      <xdr:row>130</xdr:row>
      <xdr:rowOff>0</xdr:rowOff>
    </xdr:from>
    <xdr:to>
      <xdr:col>121</xdr:col>
      <xdr:colOff>0</xdr:colOff>
      <xdr:row>138</xdr:row>
      <xdr:rowOff>2</xdr:rowOff>
    </xdr:to>
    <xdr:sp macro="" textlink="">
      <xdr:nvSpPr>
        <xdr:cNvPr id="723" name="화살표: 오른쪽 722">
          <a:extLst>
            <a:ext uri="{FF2B5EF4-FFF2-40B4-BE49-F238E27FC236}">
              <a16:creationId xmlns:a16="http://schemas.microsoft.com/office/drawing/2014/main" id="{28B95680-E6F0-9295-C077-AC6B02FE450B}"/>
            </a:ext>
          </a:extLst>
        </xdr:cNvPr>
        <xdr:cNvSpPr/>
      </xdr:nvSpPr>
      <xdr:spPr>
        <a:xfrm rot="5400000">
          <a:off x="78901605" y="29413171"/>
          <a:ext cx="1801093" cy="1330097"/>
        </a:xfrm>
        <a:prstGeom prst="rightArrow">
          <a:avLst/>
        </a:prstGeom>
        <a:solidFill>
          <a:schemeClr val="bg1">
            <a:lumMod val="95000"/>
          </a:schemeClr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150</xdr:col>
      <xdr:colOff>664958</xdr:colOff>
      <xdr:row>130</xdr:row>
      <xdr:rowOff>0</xdr:rowOff>
    </xdr:from>
    <xdr:to>
      <xdr:col>153</xdr:col>
      <xdr:colOff>0</xdr:colOff>
      <xdr:row>138</xdr:row>
      <xdr:rowOff>2</xdr:rowOff>
    </xdr:to>
    <xdr:sp macro="" textlink="">
      <xdr:nvSpPr>
        <xdr:cNvPr id="724" name="화살표: 오른쪽 723">
          <a:extLst>
            <a:ext uri="{FF2B5EF4-FFF2-40B4-BE49-F238E27FC236}">
              <a16:creationId xmlns:a16="http://schemas.microsoft.com/office/drawing/2014/main" id="{B98DBA60-3E1D-2F2B-32E7-2800737C0615}"/>
            </a:ext>
          </a:extLst>
        </xdr:cNvPr>
        <xdr:cNvSpPr/>
      </xdr:nvSpPr>
      <xdr:spPr>
        <a:xfrm rot="5400000">
          <a:off x="100182187" y="29413171"/>
          <a:ext cx="1801093" cy="1330097"/>
        </a:xfrm>
        <a:prstGeom prst="rightArrow">
          <a:avLst/>
        </a:prstGeom>
        <a:solidFill>
          <a:schemeClr val="bg1">
            <a:lumMod val="95000"/>
          </a:schemeClr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116</xdr:col>
      <xdr:colOff>0</xdr:colOff>
      <xdr:row>156</xdr:row>
      <xdr:rowOff>1</xdr:rowOff>
    </xdr:from>
    <xdr:to>
      <xdr:col>124</xdr:col>
      <xdr:colOff>524</xdr:colOff>
      <xdr:row>157</xdr:row>
      <xdr:rowOff>0</xdr:rowOff>
    </xdr:to>
    <xdr:sp macro="" textlink="">
      <xdr:nvSpPr>
        <xdr:cNvPr id="725" name="직사각형 724">
          <a:extLst>
            <a:ext uri="{FF2B5EF4-FFF2-40B4-BE49-F238E27FC236}">
              <a16:creationId xmlns:a16="http://schemas.microsoft.com/office/drawing/2014/main" id="{B13E2FDA-F593-4373-A646-BF111F2662F3}"/>
            </a:ext>
          </a:extLst>
        </xdr:cNvPr>
        <xdr:cNvSpPr/>
      </xdr:nvSpPr>
      <xdr:spPr>
        <a:xfrm>
          <a:off x="126682500" y="64922401"/>
          <a:ext cx="5334524" cy="228599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116</xdr:col>
      <xdr:colOff>0</xdr:colOff>
      <xdr:row>155</xdr:row>
      <xdr:rowOff>1919</xdr:rowOff>
    </xdr:from>
    <xdr:to>
      <xdr:col>124</xdr:col>
      <xdr:colOff>524</xdr:colOff>
      <xdr:row>156</xdr:row>
      <xdr:rowOff>0</xdr:rowOff>
    </xdr:to>
    <xdr:sp macro="" textlink="">
      <xdr:nvSpPr>
        <xdr:cNvPr id="726" name="직사각형 725">
          <a:extLst>
            <a:ext uri="{FF2B5EF4-FFF2-40B4-BE49-F238E27FC236}">
              <a16:creationId xmlns:a16="http://schemas.microsoft.com/office/drawing/2014/main" id="{41B316CD-FE51-4762-BEA5-876E06A32303}"/>
            </a:ext>
          </a:extLst>
        </xdr:cNvPr>
        <xdr:cNvSpPr/>
      </xdr:nvSpPr>
      <xdr:spPr>
        <a:xfrm>
          <a:off x="126682500" y="64695719"/>
          <a:ext cx="5334524" cy="226681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116</xdr:col>
      <xdr:colOff>0</xdr:colOff>
      <xdr:row>146</xdr:row>
      <xdr:rowOff>0</xdr:rowOff>
    </xdr:from>
    <xdr:to>
      <xdr:col>124</xdr:col>
      <xdr:colOff>524</xdr:colOff>
      <xdr:row>147</xdr:row>
      <xdr:rowOff>0</xdr:rowOff>
    </xdr:to>
    <xdr:sp macro="" textlink="">
      <xdr:nvSpPr>
        <xdr:cNvPr id="727" name="직사각형 726">
          <a:extLst>
            <a:ext uri="{FF2B5EF4-FFF2-40B4-BE49-F238E27FC236}">
              <a16:creationId xmlns:a16="http://schemas.microsoft.com/office/drawing/2014/main" id="{A95B4159-D984-4E30-89A2-AE4922292662}"/>
            </a:ext>
          </a:extLst>
        </xdr:cNvPr>
        <xdr:cNvSpPr/>
      </xdr:nvSpPr>
      <xdr:spPr>
        <a:xfrm>
          <a:off x="126682500" y="62636400"/>
          <a:ext cx="5334524" cy="22860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116</xdr:col>
      <xdr:colOff>0</xdr:colOff>
      <xdr:row>145</xdr:row>
      <xdr:rowOff>1919</xdr:rowOff>
    </xdr:from>
    <xdr:to>
      <xdr:col>124</xdr:col>
      <xdr:colOff>524</xdr:colOff>
      <xdr:row>146</xdr:row>
      <xdr:rowOff>0</xdr:rowOff>
    </xdr:to>
    <xdr:sp macro="" textlink="">
      <xdr:nvSpPr>
        <xdr:cNvPr id="728" name="직사각형 727">
          <a:extLst>
            <a:ext uri="{FF2B5EF4-FFF2-40B4-BE49-F238E27FC236}">
              <a16:creationId xmlns:a16="http://schemas.microsoft.com/office/drawing/2014/main" id="{2F1FD9B4-EB49-48E0-A0D0-48DF8AB1B07D}"/>
            </a:ext>
          </a:extLst>
        </xdr:cNvPr>
        <xdr:cNvSpPr/>
      </xdr:nvSpPr>
      <xdr:spPr>
        <a:xfrm>
          <a:off x="126682500" y="62409719"/>
          <a:ext cx="5334524" cy="226681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116</xdr:col>
      <xdr:colOff>0</xdr:colOff>
      <xdr:row>142</xdr:row>
      <xdr:rowOff>7219</xdr:rowOff>
    </xdr:from>
    <xdr:to>
      <xdr:col>124</xdr:col>
      <xdr:colOff>524</xdr:colOff>
      <xdr:row>145</xdr:row>
      <xdr:rowOff>5300</xdr:rowOff>
    </xdr:to>
    <xdr:sp macro="" textlink="">
      <xdr:nvSpPr>
        <xdr:cNvPr id="729" name="직사각형 728">
          <a:extLst>
            <a:ext uri="{FF2B5EF4-FFF2-40B4-BE49-F238E27FC236}">
              <a16:creationId xmlns:a16="http://schemas.microsoft.com/office/drawing/2014/main" id="{5E5E78D9-9B59-4929-8340-5922A4240C37}"/>
            </a:ext>
          </a:extLst>
        </xdr:cNvPr>
        <xdr:cNvSpPr/>
      </xdr:nvSpPr>
      <xdr:spPr>
        <a:xfrm>
          <a:off x="126682500" y="61729219"/>
          <a:ext cx="5334524" cy="683881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116</xdr:col>
      <xdr:colOff>669235</xdr:colOff>
      <xdr:row>142</xdr:row>
      <xdr:rowOff>220579</xdr:rowOff>
    </xdr:from>
    <xdr:to>
      <xdr:col>123</xdr:col>
      <xdr:colOff>1</xdr:colOff>
      <xdr:row>143</xdr:row>
      <xdr:rowOff>218660</xdr:rowOff>
    </xdr:to>
    <xdr:sp macro="" textlink="">
      <xdr:nvSpPr>
        <xdr:cNvPr id="730" name="직사각형 729">
          <a:extLst>
            <a:ext uri="{FF2B5EF4-FFF2-40B4-BE49-F238E27FC236}">
              <a16:creationId xmlns:a16="http://schemas.microsoft.com/office/drawing/2014/main" id="{0026F34C-1F10-41E9-8512-BC24FA472013}"/>
            </a:ext>
          </a:extLst>
        </xdr:cNvPr>
        <xdr:cNvSpPr/>
      </xdr:nvSpPr>
      <xdr:spPr>
        <a:xfrm>
          <a:off x="127351735" y="61942579"/>
          <a:ext cx="3998016" cy="22668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116</xdr:col>
      <xdr:colOff>0</xdr:colOff>
      <xdr:row>157</xdr:row>
      <xdr:rowOff>0</xdr:rowOff>
    </xdr:from>
    <xdr:to>
      <xdr:col>124</xdr:col>
      <xdr:colOff>524</xdr:colOff>
      <xdr:row>159</xdr:row>
      <xdr:rowOff>218660</xdr:rowOff>
    </xdr:to>
    <xdr:sp macro="" textlink="">
      <xdr:nvSpPr>
        <xdr:cNvPr id="731" name="직사각형 730">
          <a:extLst>
            <a:ext uri="{FF2B5EF4-FFF2-40B4-BE49-F238E27FC236}">
              <a16:creationId xmlns:a16="http://schemas.microsoft.com/office/drawing/2014/main" id="{D3E1AC17-F090-4F74-99B0-ABD8F98C8E5B}"/>
            </a:ext>
          </a:extLst>
        </xdr:cNvPr>
        <xdr:cNvSpPr/>
      </xdr:nvSpPr>
      <xdr:spPr>
        <a:xfrm>
          <a:off x="126682500" y="65151000"/>
          <a:ext cx="5334524" cy="67586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116</xdr:col>
      <xdr:colOff>669235</xdr:colOff>
      <xdr:row>158</xdr:row>
      <xdr:rowOff>0</xdr:rowOff>
    </xdr:from>
    <xdr:to>
      <xdr:col>123</xdr:col>
      <xdr:colOff>1</xdr:colOff>
      <xdr:row>158</xdr:row>
      <xdr:rowOff>218660</xdr:rowOff>
    </xdr:to>
    <xdr:sp macro="" textlink="">
      <xdr:nvSpPr>
        <xdr:cNvPr id="732" name="직사각형 731">
          <a:extLst>
            <a:ext uri="{FF2B5EF4-FFF2-40B4-BE49-F238E27FC236}">
              <a16:creationId xmlns:a16="http://schemas.microsoft.com/office/drawing/2014/main" id="{C5EEE517-0CC5-4C47-940D-88A6A6D75D3B}"/>
            </a:ext>
          </a:extLst>
        </xdr:cNvPr>
        <xdr:cNvSpPr/>
      </xdr:nvSpPr>
      <xdr:spPr>
        <a:xfrm>
          <a:off x="127351735" y="65379600"/>
          <a:ext cx="3998016" cy="218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115</xdr:col>
      <xdr:colOff>1</xdr:colOff>
      <xdr:row>146</xdr:row>
      <xdr:rowOff>0</xdr:rowOff>
    </xdr:from>
    <xdr:to>
      <xdr:col>116</xdr:col>
      <xdr:colOff>1</xdr:colOff>
      <xdr:row>147</xdr:row>
      <xdr:rowOff>0</xdr:rowOff>
    </xdr:to>
    <xdr:sp macro="" textlink="">
      <xdr:nvSpPr>
        <xdr:cNvPr id="733" name="직사각형 732">
          <a:extLst>
            <a:ext uri="{FF2B5EF4-FFF2-40B4-BE49-F238E27FC236}">
              <a16:creationId xmlns:a16="http://schemas.microsoft.com/office/drawing/2014/main" id="{10DB9BBA-6068-47AB-8972-B1212E0E0608}"/>
            </a:ext>
          </a:extLst>
        </xdr:cNvPr>
        <xdr:cNvSpPr/>
      </xdr:nvSpPr>
      <xdr:spPr>
        <a:xfrm>
          <a:off x="126015751" y="62636400"/>
          <a:ext cx="666750" cy="22860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115</xdr:col>
      <xdr:colOff>1</xdr:colOff>
      <xdr:row>155</xdr:row>
      <xdr:rowOff>-1</xdr:rowOff>
    </xdr:from>
    <xdr:to>
      <xdr:col>116</xdr:col>
      <xdr:colOff>1</xdr:colOff>
      <xdr:row>156</xdr:row>
      <xdr:rowOff>0</xdr:rowOff>
    </xdr:to>
    <xdr:sp macro="" textlink="">
      <xdr:nvSpPr>
        <xdr:cNvPr id="734" name="직사각형 733">
          <a:extLst>
            <a:ext uri="{FF2B5EF4-FFF2-40B4-BE49-F238E27FC236}">
              <a16:creationId xmlns:a16="http://schemas.microsoft.com/office/drawing/2014/main" id="{B280CF3A-98AC-40E8-B78F-B60FC61A7C7E}"/>
            </a:ext>
          </a:extLst>
        </xdr:cNvPr>
        <xdr:cNvSpPr/>
      </xdr:nvSpPr>
      <xdr:spPr>
        <a:xfrm>
          <a:off x="126015751" y="64693799"/>
          <a:ext cx="666750" cy="228601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124</xdr:col>
      <xdr:colOff>0</xdr:colOff>
      <xdr:row>146</xdr:row>
      <xdr:rowOff>0</xdr:rowOff>
    </xdr:from>
    <xdr:to>
      <xdr:col>125</xdr:col>
      <xdr:colOff>1</xdr:colOff>
      <xdr:row>147</xdr:row>
      <xdr:rowOff>0</xdr:rowOff>
    </xdr:to>
    <xdr:sp macro="" textlink="">
      <xdr:nvSpPr>
        <xdr:cNvPr id="735" name="직사각형 734">
          <a:extLst>
            <a:ext uri="{FF2B5EF4-FFF2-40B4-BE49-F238E27FC236}">
              <a16:creationId xmlns:a16="http://schemas.microsoft.com/office/drawing/2014/main" id="{D66243A6-24DB-4BA8-A423-0C7122143171}"/>
            </a:ext>
          </a:extLst>
        </xdr:cNvPr>
        <xdr:cNvSpPr/>
      </xdr:nvSpPr>
      <xdr:spPr>
        <a:xfrm>
          <a:off x="132016500" y="62636400"/>
          <a:ext cx="666751" cy="22860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124</xdr:col>
      <xdr:colOff>0</xdr:colOff>
      <xdr:row>155</xdr:row>
      <xdr:rowOff>-1</xdr:rowOff>
    </xdr:from>
    <xdr:to>
      <xdr:col>125</xdr:col>
      <xdr:colOff>1</xdr:colOff>
      <xdr:row>156</xdr:row>
      <xdr:rowOff>0</xdr:rowOff>
    </xdr:to>
    <xdr:sp macro="" textlink="">
      <xdr:nvSpPr>
        <xdr:cNvPr id="736" name="직사각형 735">
          <a:extLst>
            <a:ext uri="{FF2B5EF4-FFF2-40B4-BE49-F238E27FC236}">
              <a16:creationId xmlns:a16="http://schemas.microsoft.com/office/drawing/2014/main" id="{4E729F71-0BAD-427F-B043-30AB56BDDA78}"/>
            </a:ext>
          </a:extLst>
        </xdr:cNvPr>
        <xdr:cNvSpPr/>
      </xdr:nvSpPr>
      <xdr:spPr>
        <a:xfrm>
          <a:off x="132016500" y="64693799"/>
          <a:ext cx="666751" cy="228601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148</xdr:col>
      <xdr:colOff>0</xdr:colOff>
      <xdr:row>156</xdr:row>
      <xdr:rowOff>1</xdr:rowOff>
    </xdr:from>
    <xdr:to>
      <xdr:col>156</xdr:col>
      <xdr:colOff>524</xdr:colOff>
      <xdr:row>157</xdr:row>
      <xdr:rowOff>0</xdr:rowOff>
    </xdr:to>
    <xdr:sp macro="" textlink="">
      <xdr:nvSpPr>
        <xdr:cNvPr id="737" name="직사각형 736">
          <a:extLst>
            <a:ext uri="{FF2B5EF4-FFF2-40B4-BE49-F238E27FC236}">
              <a16:creationId xmlns:a16="http://schemas.microsoft.com/office/drawing/2014/main" id="{CEF2C2D5-FB19-4780-9AB5-8030A5828B78}"/>
            </a:ext>
          </a:extLst>
        </xdr:cNvPr>
        <xdr:cNvSpPr/>
      </xdr:nvSpPr>
      <xdr:spPr>
        <a:xfrm>
          <a:off x="148018500" y="64922401"/>
          <a:ext cx="5334524" cy="228599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148</xdr:col>
      <xdr:colOff>0</xdr:colOff>
      <xdr:row>155</xdr:row>
      <xdr:rowOff>1919</xdr:rowOff>
    </xdr:from>
    <xdr:to>
      <xdr:col>156</xdr:col>
      <xdr:colOff>524</xdr:colOff>
      <xdr:row>156</xdr:row>
      <xdr:rowOff>0</xdr:rowOff>
    </xdr:to>
    <xdr:sp macro="" textlink="">
      <xdr:nvSpPr>
        <xdr:cNvPr id="738" name="직사각형 737">
          <a:extLst>
            <a:ext uri="{FF2B5EF4-FFF2-40B4-BE49-F238E27FC236}">
              <a16:creationId xmlns:a16="http://schemas.microsoft.com/office/drawing/2014/main" id="{66F0E748-9D24-4517-BC13-DE8EBFB719F9}"/>
            </a:ext>
          </a:extLst>
        </xdr:cNvPr>
        <xdr:cNvSpPr/>
      </xdr:nvSpPr>
      <xdr:spPr>
        <a:xfrm>
          <a:off x="148018500" y="64695719"/>
          <a:ext cx="5334524" cy="226681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148</xdr:col>
      <xdr:colOff>0</xdr:colOff>
      <xdr:row>146</xdr:row>
      <xdr:rowOff>0</xdr:rowOff>
    </xdr:from>
    <xdr:to>
      <xdr:col>156</xdr:col>
      <xdr:colOff>524</xdr:colOff>
      <xdr:row>147</xdr:row>
      <xdr:rowOff>0</xdr:rowOff>
    </xdr:to>
    <xdr:sp macro="" textlink="">
      <xdr:nvSpPr>
        <xdr:cNvPr id="739" name="직사각형 738">
          <a:extLst>
            <a:ext uri="{FF2B5EF4-FFF2-40B4-BE49-F238E27FC236}">
              <a16:creationId xmlns:a16="http://schemas.microsoft.com/office/drawing/2014/main" id="{68D2F4C9-A826-4BAC-9FE2-EE57D6010A0B}"/>
            </a:ext>
          </a:extLst>
        </xdr:cNvPr>
        <xdr:cNvSpPr/>
      </xdr:nvSpPr>
      <xdr:spPr>
        <a:xfrm>
          <a:off x="148018500" y="62636400"/>
          <a:ext cx="5334524" cy="22860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148</xdr:col>
      <xdr:colOff>0</xdr:colOff>
      <xdr:row>145</xdr:row>
      <xdr:rowOff>1919</xdr:rowOff>
    </xdr:from>
    <xdr:to>
      <xdr:col>156</xdr:col>
      <xdr:colOff>524</xdr:colOff>
      <xdr:row>146</xdr:row>
      <xdr:rowOff>0</xdr:rowOff>
    </xdr:to>
    <xdr:sp macro="" textlink="">
      <xdr:nvSpPr>
        <xdr:cNvPr id="740" name="직사각형 739">
          <a:extLst>
            <a:ext uri="{FF2B5EF4-FFF2-40B4-BE49-F238E27FC236}">
              <a16:creationId xmlns:a16="http://schemas.microsoft.com/office/drawing/2014/main" id="{FAA3F112-F822-4014-A39B-17A02EBC8D7F}"/>
            </a:ext>
          </a:extLst>
        </xdr:cNvPr>
        <xdr:cNvSpPr/>
      </xdr:nvSpPr>
      <xdr:spPr>
        <a:xfrm>
          <a:off x="148018500" y="62409719"/>
          <a:ext cx="5334524" cy="226681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148</xdr:col>
      <xdr:colOff>0</xdr:colOff>
      <xdr:row>141</xdr:row>
      <xdr:rowOff>220579</xdr:rowOff>
    </xdr:from>
    <xdr:to>
      <xdr:col>156</xdr:col>
      <xdr:colOff>524</xdr:colOff>
      <xdr:row>144</xdr:row>
      <xdr:rowOff>218660</xdr:rowOff>
    </xdr:to>
    <xdr:sp macro="" textlink="">
      <xdr:nvSpPr>
        <xdr:cNvPr id="741" name="직사각형 740">
          <a:extLst>
            <a:ext uri="{FF2B5EF4-FFF2-40B4-BE49-F238E27FC236}">
              <a16:creationId xmlns:a16="http://schemas.microsoft.com/office/drawing/2014/main" id="{65D94D22-7D7F-4AAC-967C-74473018AE08}"/>
            </a:ext>
          </a:extLst>
        </xdr:cNvPr>
        <xdr:cNvSpPr/>
      </xdr:nvSpPr>
      <xdr:spPr>
        <a:xfrm>
          <a:off x="148018500" y="61713979"/>
          <a:ext cx="5334524" cy="683881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148</xdr:col>
      <xdr:colOff>669235</xdr:colOff>
      <xdr:row>142</xdr:row>
      <xdr:rowOff>220579</xdr:rowOff>
    </xdr:from>
    <xdr:to>
      <xdr:col>155</xdr:col>
      <xdr:colOff>1</xdr:colOff>
      <xdr:row>143</xdr:row>
      <xdr:rowOff>218660</xdr:rowOff>
    </xdr:to>
    <xdr:sp macro="" textlink="">
      <xdr:nvSpPr>
        <xdr:cNvPr id="742" name="직사각형 741">
          <a:extLst>
            <a:ext uri="{FF2B5EF4-FFF2-40B4-BE49-F238E27FC236}">
              <a16:creationId xmlns:a16="http://schemas.microsoft.com/office/drawing/2014/main" id="{D068D20E-24F1-4470-BE96-D32AC1DF37CF}"/>
            </a:ext>
          </a:extLst>
        </xdr:cNvPr>
        <xdr:cNvSpPr/>
      </xdr:nvSpPr>
      <xdr:spPr>
        <a:xfrm>
          <a:off x="148687735" y="61942579"/>
          <a:ext cx="3998016" cy="22668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148</xdr:col>
      <xdr:colOff>0</xdr:colOff>
      <xdr:row>157</xdr:row>
      <xdr:rowOff>0</xdr:rowOff>
    </xdr:from>
    <xdr:to>
      <xdr:col>156</xdr:col>
      <xdr:colOff>524</xdr:colOff>
      <xdr:row>159</xdr:row>
      <xdr:rowOff>218660</xdr:rowOff>
    </xdr:to>
    <xdr:sp macro="" textlink="">
      <xdr:nvSpPr>
        <xdr:cNvPr id="743" name="직사각형 742">
          <a:extLst>
            <a:ext uri="{FF2B5EF4-FFF2-40B4-BE49-F238E27FC236}">
              <a16:creationId xmlns:a16="http://schemas.microsoft.com/office/drawing/2014/main" id="{AA6110C1-825F-49AD-BA43-608DD3DAC510}"/>
            </a:ext>
          </a:extLst>
        </xdr:cNvPr>
        <xdr:cNvSpPr/>
      </xdr:nvSpPr>
      <xdr:spPr>
        <a:xfrm>
          <a:off x="148018500" y="65151000"/>
          <a:ext cx="5334524" cy="67586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148</xdr:col>
      <xdr:colOff>669235</xdr:colOff>
      <xdr:row>158</xdr:row>
      <xdr:rowOff>0</xdr:rowOff>
    </xdr:from>
    <xdr:to>
      <xdr:col>155</xdr:col>
      <xdr:colOff>1</xdr:colOff>
      <xdr:row>158</xdr:row>
      <xdr:rowOff>218660</xdr:rowOff>
    </xdr:to>
    <xdr:sp macro="" textlink="">
      <xdr:nvSpPr>
        <xdr:cNvPr id="744" name="직사각형 743">
          <a:extLst>
            <a:ext uri="{FF2B5EF4-FFF2-40B4-BE49-F238E27FC236}">
              <a16:creationId xmlns:a16="http://schemas.microsoft.com/office/drawing/2014/main" id="{A01B9A34-F8E0-4F70-B2C6-8BBF4882BAD9}"/>
            </a:ext>
          </a:extLst>
        </xdr:cNvPr>
        <xdr:cNvSpPr/>
      </xdr:nvSpPr>
      <xdr:spPr>
        <a:xfrm>
          <a:off x="148687735" y="65379600"/>
          <a:ext cx="3998016" cy="218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150</xdr:col>
      <xdr:colOff>0</xdr:colOff>
      <xdr:row>148</xdr:row>
      <xdr:rowOff>8965</xdr:rowOff>
    </xdr:from>
    <xdr:to>
      <xdr:col>154</xdr:col>
      <xdr:colOff>0</xdr:colOff>
      <xdr:row>154</xdr:row>
      <xdr:rowOff>0</xdr:rowOff>
    </xdr:to>
    <xdr:sp macro="" textlink="">
      <xdr:nvSpPr>
        <xdr:cNvPr id="745" name="사각형: 둥근 모서리 744">
          <a:extLst>
            <a:ext uri="{FF2B5EF4-FFF2-40B4-BE49-F238E27FC236}">
              <a16:creationId xmlns:a16="http://schemas.microsoft.com/office/drawing/2014/main" id="{DDA79016-46ED-4708-B1F9-BE505C023938}"/>
            </a:ext>
          </a:extLst>
        </xdr:cNvPr>
        <xdr:cNvSpPr/>
      </xdr:nvSpPr>
      <xdr:spPr>
        <a:xfrm>
          <a:off x="149352000" y="63102565"/>
          <a:ext cx="2667000" cy="1362635"/>
        </a:xfrm>
        <a:prstGeom prst="roundRect">
          <a:avLst/>
        </a:prstGeom>
        <a:ln w="57150">
          <a:solidFill>
            <a:schemeClr val="tx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147</xdr:col>
      <xdr:colOff>489235</xdr:colOff>
      <xdr:row>146</xdr:row>
      <xdr:rowOff>13252</xdr:rowOff>
    </xdr:from>
    <xdr:to>
      <xdr:col>148</xdr:col>
      <xdr:colOff>0</xdr:colOff>
      <xdr:row>149</xdr:row>
      <xdr:rowOff>218660</xdr:rowOff>
    </xdr:to>
    <xdr:sp macro="" textlink="">
      <xdr:nvSpPr>
        <xdr:cNvPr id="746" name="직사각형 745">
          <a:extLst>
            <a:ext uri="{FF2B5EF4-FFF2-40B4-BE49-F238E27FC236}">
              <a16:creationId xmlns:a16="http://schemas.microsoft.com/office/drawing/2014/main" id="{0BBD83A5-CBDB-449A-9636-2C975E6CCBC6}"/>
            </a:ext>
          </a:extLst>
        </xdr:cNvPr>
        <xdr:cNvSpPr/>
      </xdr:nvSpPr>
      <xdr:spPr>
        <a:xfrm>
          <a:off x="147840985" y="62649652"/>
          <a:ext cx="177515" cy="891208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147</xdr:col>
      <xdr:colOff>489235</xdr:colOff>
      <xdr:row>152</xdr:row>
      <xdr:rowOff>0</xdr:rowOff>
    </xdr:from>
    <xdr:to>
      <xdr:col>148</xdr:col>
      <xdr:colOff>0</xdr:colOff>
      <xdr:row>155</xdr:row>
      <xdr:rowOff>218660</xdr:rowOff>
    </xdr:to>
    <xdr:sp macro="" textlink="">
      <xdr:nvSpPr>
        <xdr:cNvPr id="747" name="직사각형 746">
          <a:extLst>
            <a:ext uri="{FF2B5EF4-FFF2-40B4-BE49-F238E27FC236}">
              <a16:creationId xmlns:a16="http://schemas.microsoft.com/office/drawing/2014/main" id="{1D77962B-2986-4818-9030-FDD274EEE6C2}"/>
            </a:ext>
          </a:extLst>
        </xdr:cNvPr>
        <xdr:cNvSpPr/>
      </xdr:nvSpPr>
      <xdr:spPr>
        <a:xfrm>
          <a:off x="147840985" y="64008000"/>
          <a:ext cx="177515" cy="90446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156</xdr:col>
      <xdr:colOff>0</xdr:colOff>
      <xdr:row>146</xdr:row>
      <xdr:rowOff>13253</xdr:rowOff>
    </xdr:from>
    <xdr:to>
      <xdr:col>156</xdr:col>
      <xdr:colOff>180000</xdr:colOff>
      <xdr:row>150</xdr:row>
      <xdr:rowOff>1</xdr:rowOff>
    </xdr:to>
    <xdr:sp macro="" textlink="">
      <xdr:nvSpPr>
        <xdr:cNvPr id="748" name="직사각형 747">
          <a:extLst>
            <a:ext uri="{FF2B5EF4-FFF2-40B4-BE49-F238E27FC236}">
              <a16:creationId xmlns:a16="http://schemas.microsoft.com/office/drawing/2014/main" id="{5B514200-FD0D-44F0-9DEA-9C1684F86A39}"/>
            </a:ext>
          </a:extLst>
        </xdr:cNvPr>
        <xdr:cNvSpPr/>
      </xdr:nvSpPr>
      <xdr:spPr>
        <a:xfrm>
          <a:off x="153352500" y="62649653"/>
          <a:ext cx="180000" cy="901148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156</xdr:col>
      <xdr:colOff>0</xdr:colOff>
      <xdr:row>152</xdr:row>
      <xdr:rowOff>1</xdr:rowOff>
    </xdr:from>
    <xdr:to>
      <xdr:col>156</xdr:col>
      <xdr:colOff>180000</xdr:colOff>
      <xdr:row>156</xdr:row>
      <xdr:rowOff>0</xdr:rowOff>
    </xdr:to>
    <xdr:sp macro="" textlink="">
      <xdr:nvSpPr>
        <xdr:cNvPr id="749" name="직사각형 748">
          <a:extLst>
            <a:ext uri="{FF2B5EF4-FFF2-40B4-BE49-F238E27FC236}">
              <a16:creationId xmlns:a16="http://schemas.microsoft.com/office/drawing/2014/main" id="{0454B071-229D-4A28-83C8-427FD86D2974}"/>
            </a:ext>
          </a:extLst>
        </xdr:cNvPr>
        <xdr:cNvSpPr/>
      </xdr:nvSpPr>
      <xdr:spPr>
        <a:xfrm>
          <a:off x="153352500" y="64008001"/>
          <a:ext cx="180000" cy="914399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118</xdr:col>
      <xdr:colOff>672352</xdr:colOff>
      <xdr:row>85</xdr:row>
      <xdr:rowOff>0</xdr:rowOff>
    </xdr:from>
    <xdr:to>
      <xdr:col>121</xdr:col>
      <xdr:colOff>7394</xdr:colOff>
      <xdr:row>104</xdr:row>
      <xdr:rowOff>0</xdr:rowOff>
    </xdr:to>
    <xdr:sp macro="" textlink="">
      <xdr:nvSpPr>
        <xdr:cNvPr id="750" name="화살표: 오른쪽 749">
          <a:extLst>
            <a:ext uri="{FF2B5EF4-FFF2-40B4-BE49-F238E27FC236}">
              <a16:creationId xmlns:a16="http://schemas.microsoft.com/office/drawing/2014/main" id="{4F695245-6CC1-1298-E59B-2E89E37B2E26}"/>
            </a:ext>
          </a:extLst>
        </xdr:cNvPr>
        <xdr:cNvSpPr/>
      </xdr:nvSpPr>
      <xdr:spPr>
        <a:xfrm rot="5400000">
          <a:off x="78552450" y="20686843"/>
          <a:ext cx="4267200" cy="1352101"/>
        </a:xfrm>
        <a:prstGeom prst="rightArrow">
          <a:avLst/>
        </a:prstGeom>
        <a:solidFill>
          <a:schemeClr val="bg1">
            <a:lumMod val="95000"/>
          </a:schemeClr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148</xdr:col>
      <xdr:colOff>0</xdr:colOff>
      <xdr:row>201</xdr:row>
      <xdr:rowOff>1</xdr:rowOff>
    </xdr:from>
    <xdr:to>
      <xdr:col>156</xdr:col>
      <xdr:colOff>524</xdr:colOff>
      <xdr:row>202</xdr:row>
      <xdr:rowOff>0</xdr:rowOff>
    </xdr:to>
    <xdr:sp macro="" textlink="">
      <xdr:nvSpPr>
        <xdr:cNvPr id="751" name="직사각형 750">
          <a:extLst>
            <a:ext uri="{FF2B5EF4-FFF2-40B4-BE49-F238E27FC236}">
              <a16:creationId xmlns:a16="http://schemas.microsoft.com/office/drawing/2014/main" id="{69B580EA-B015-4725-BE1F-F3B67DF19263}"/>
            </a:ext>
          </a:extLst>
        </xdr:cNvPr>
        <xdr:cNvSpPr/>
      </xdr:nvSpPr>
      <xdr:spPr>
        <a:xfrm>
          <a:off x="147634036" y="63481528"/>
          <a:ext cx="5320670" cy="221672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148</xdr:col>
      <xdr:colOff>0</xdr:colOff>
      <xdr:row>200</xdr:row>
      <xdr:rowOff>1919</xdr:rowOff>
    </xdr:from>
    <xdr:to>
      <xdr:col>156</xdr:col>
      <xdr:colOff>524</xdr:colOff>
      <xdr:row>201</xdr:row>
      <xdr:rowOff>0</xdr:rowOff>
    </xdr:to>
    <xdr:sp macro="" textlink="">
      <xdr:nvSpPr>
        <xdr:cNvPr id="752" name="직사각형 751">
          <a:extLst>
            <a:ext uri="{FF2B5EF4-FFF2-40B4-BE49-F238E27FC236}">
              <a16:creationId xmlns:a16="http://schemas.microsoft.com/office/drawing/2014/main" id="{99FC28C3-50D7-4410-9359-6872D0CD762B}"/>
            </a:ext>
          </a:extLst>
        </xdr:cNvPr>
        <xdr:cNvSpPr/>
      </xdr:nvSpPr>
      <xdr:spPr>
        <a:xfrm>
          <a:off x="147634036" y="63261774"/>
          <a:ext cx="5320670" cy="219753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148</xdr:col>
      <xdr:colOff>0</xdr:colOff>
      <xdr:row>191</xdr:row>
      <xdr:rowOff>0</xdr:rowOff>
    </xdr:from>
    <xdr:to>
      <xdr:col>156</xdr:col>
      <xdr:colOff>524</xdr:colOff>
      <xdr:row>192</xdr:row>
      <xdr:rowOff>0</xdr:rowOff>
    </xdr:to>
    <xdr:sp macro="" textlink="">
      <xdr:nvSpPr>
        <xdr:cNvPr id="753" name="직사각형 752">
          <a:extLst>
            <a:ext uri="{FF2B5EF4-FFF2-40B4-BE49-F238E27FC236}">
              <a16:creationId xmlns:a16="http://schemas.microsoft.com/office/drawing/2014/main" id="{89700285-5A86-47CB-B47A-A623D461408D}"/>
            </a:ext>
          </a:extLst>
        </xdr:cNvPr>
        <xdr:cNvSpPr/>
      </xdr:nvSpPr>
      <xdr:spPr>
        <a:xfrm>
          <a:off x="147634036" y="61264800"/>
          <a:ext cx="5320670" cy="221673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148</xdr:col>
      <xdr:colOff>0</xdr:colOff>
      <xdr:row>190</xdr:row>
      <xdr:rowOff>1919</xdr:rowOff>
    </xdr:from>
    <xdr:to>
      <xdr:col>156</xdr:col>
      <xdr:colOff>524</xdr:colOff>
      <xdr:row>191</xdr:row>
      <xdr:rowOff>0</xdr:rowOff>
    </xdr:to>
    <xdr:sp macro="" textlink="">
      <xdr:nvSpPr>
        <xdr:cNvPr id="754" name="직사각형 753">
          <a:extLst>
            <a:ext uri="{FF2B5EF4-FFF2-40B4-BE49-F238E27FC236}">
              <a16:creationId xmlns:a16="http://schemas.microsoft.com/office/drawing/2014/main" id="{20FCFBA2-8CA3-4E1C-AB26-2A6CA44DA55B}"/>
            </a:ext>
          </a:extLst>
        </xdr:cNvPr>
        <xdr:cNvSpPr/>
      </xdr:nvSpPr>
      <xdr:spPr>
        <a:xfrm>
          <a:off x="147634036" y="61045046"/>
          <a:ext cx="5320670" cy="219754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148</xdr:col>
      <xdr:colOff>0</xdr:colOff>
      <xdr:row>186</xdr:row>
      <xdr:rowOff>220579</xdr:rowOff>
    </xdr:from>
    <xdr:to>
      <xdr:col>156</xdr:col>
      <xdr:colOff>524</xdr:colOff>
      <xdr:row>189</xdr:row>
      <xdr:rowOff>218660</xdr:rowOff>
    </xdr:to>
    <xdr:sp macro="" textlink="">
      <xdr:nvSpPr>
        <xdr:cNvPr id="755" name="직사각형 754">
          <a:extLst>
            <a:ext uri="{FF2B5EF4-FFF2-40B4-BE49-F238E27FC236}">
              <a16:creationId xmlns:a16="http://schemas.microsoft.com/office/drawing/2014/main" id="{4CBAF601-EC31-4AC5-B81D-B5B2710F6006}"/>
            </a:ext>
          </a:extLst>
        </xdr:cNvPr>
        <xdr:cNvSpPr/>
      </xdr:nvSpPr>
      <xdr:spPr>
        <a:xfrm>
          <a:off x="147634036" y="60377015"/>
          <a:ext cx="5320670" cy="66310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148</xdr:col>
      <xdr:colOff>669235</xdr:colOff>
      <xdr:row>187</xdr:row>
      <xdr:rowOff>220579</xdr:rowOff>
    </xdr:from>
    <xdr:to>
      <xdr:col>155</xdr:col>
      <xdr:colOff>1</xdr:colOff>
      <xdr:row>188</xdr:row>
      <xdr:rowOff>218660</xdr:rowOff>
    </xdr:to>
    <xdr:sp macro="" textlink="">
      <xdr:nvSpPr>
        <xdr:cNvPr id="756" name="직사각형 755">
          <a:extLst>
            <a:ext uri="{FF2B5EF4-FFF2-40B4-BE49-F238E27FC236}">
              <a16:creationId xmlns:a16="http://schemas.microsoft.com/office/drawing/2014/main" id="{4F18E679-C25B-40D5-A4E7-1E1650E124A1}"/>
            </a:ext>
          </a:extLst>
        </xdr:cNvPr>
        <xdr:cNvSpPr/>
      </xdr:nvSpPr>
      <xdr:spPr>
        <a:xfrm>
          <a:off x="148303271" y="60598688"/>
          <a:ext cx="3985894" cy="21975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148</xdr:col>
      <xdr:colOff>0</xdr:colOff>
      <xdr:row>202</xdr:row>
      <xdr:rowOff>0</xdr:rowOff>
    </xdr:from>
    <xdr:to>
      <xdr:col>156</xdr:col>
      <xdr:colOff>524</xdr:colOff>
      <xdr:row>204</xdr:row>
      <xdr:rowOff>218660</xdr:rowOff>
    </xdr:to>
    <xdr:sp macro="" textlink="">
      <xdr:nvSpPr>
        <xdr:cNvPr id="757" name="직사각형 756">
          <a:extLst>
            <a:ext uri="{FF2B5EF4-FFF2-40B4-BE49-F238E27FC236}">
              <a16:creationId xmlns:a16="http://schemas.microsoft.com/office/drawing/2014/main" id="{4C1DE057-DEE8-46D3-863A-84F8971FCE66}"/>
            </a:ext>
          </a:extLst>
        </xdr:cNvPr>
        <xdr:cNvSpPr/>
      </xdr:nvSpPr>
      <xdr:spPr>
        <a:xfrm>
          <a:off x="147634036" y="63703200"/>
          <a:ext cx="5320670" cy="662005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148</xdr:col>
      <xdr:colOff>669235</xdr:colOff>
      <xdr:row>203</xdr:row>
      <xdr:rowOff>0</xdr:rowOff>
    </xdr:from>
    <xdr:to>
      <xdr:col>155</xdr:col>
      <xdr:colOff>1</xdr:colOff>
      <xdr:row>203</xdr:row>
      <xdr:rowOff>218660</xdr:rowOff>
    </xdr:to>
    <xdr:sp macro="" textlink="">
      <xdr:nvSpPr>
        <xdr:cNvPr id="758" name="직사각형 757">
          <a:extLst>
            <a:ext uri="{FF2B5EF4-FFF2-40B4-BE49-F238E27FC236}">
              <a16:creationId xmlns:a16="http://schemas.microsoft.com/office/drawing/2014/main" id="{E2115E32-ED78-4986-B43A-F62EF1F93F26}"/>
            </a:ext>
          </a:extLst>
        </xdr:cNvPr>
        <xdr:cNvSpPr/>
      </xdr:nvSpPr>
      <xdr:spPr>
        <a:xfrm>
          <a:off x="148303271" y="63924873"/>
          <a:ext cx="3985894" cy="218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150</xdr:col>
      <xdr:colOff>0</xdr:colOff>
      <xdr:row>193</xdr:row>
      <xdr:rowOff>8965</xdr:rowOff>
    </xdr:from>
    <xdr:to>
      <xdr:col>154</xdr:col>
      <xdr:colOff>0</xdr:colOff>
      <xdr:row>199</xdr:row>
      <xdr:rowOff>0</xdr:rowOff>
    </xdr:to>
    <xdr:sp macro="" textlink="">
      <xdr:nvSpPr>
        <xdr:cNvPr id="759" name="사각형: 둥근 모서리 758">
          <a:extLst>
            <a:ext uri="{FF2B5EF4-FFF2-40B4-BE49-F238E27FC236}">
              <a16:creationId xmlns:a16="http://schemas.microsoft.com/office/drawing/2014/main" id="{1C4A4914-8431-4A6C-85E7-32FC8180BB78}"/>
            </a:ext>
          </a:extLst>
        </xdr:cNvPr>
        <xdr:cNvSpPr/>
      </xdr:nvSpPr>
      <xdr:spPr>
        <a:xfrm>
          <a:off x="148964073" y="61717110"/>
          <a:ext cx="2660072" cy="1321072"/>
        </a:xfrm>
        <a:prstGeom prst="roundRect">
          <a:avLst/>
        </a:prstGeom>
        <a:ln w="57150">
          <a:solidFill>
            <a:schemeClr val="tx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147</xdr:col>
      <xdr:colOff>489235</xdr:colOff>
      <xdr:row>191</xdr:row>
      <xdr:rowOff>13252</xdr:rowOff>
    </xdr:from>
    <xdr:to>
      <xdr:col>148</xdr:col>
      <xdr:colOff>0</xdr:colOff>
      <xdr:row>194</xdr:row>
      <xdr:rowOff>218660</xdr:rowOff>
    </xdr:to>
    <xdr:sp macro="" textlink="">
      <xdr:nvSpPr>
        <xdr:cNvPr id="760" name="직사각형 759">
          <a:extLst>
            <a:ext uri="{FF2B5EF4-FFF2-40B4-BE49-F238E27FC236}">
              <a16:creationId xmlns:a16="http://schemas.microsoft.com/office/drawing/2014/main" id="{E169E69D-C03C-4BB8-9CFB-2DF22D46D755}"/>
            </a:ext>
          </a:extLst>
        </xdr:cNvPr>
        <xdr:cNvSpPr/>
      </xdr:nvSpPr>
      <xdr:spPr>
        <a:xfrm>
          <a:off x="147458253" y="61278052"/>
          <a:ext cx="175783" cy="870426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147</xdr:col>
      <xdr:colOff>489235</xdr:colOff>
      <xdr:row>197</xdr:row>
      <xdr:rowOff>0</xdr:rowOff>
    </xdr:from>
    <xdr:to>
      <xdr:col>148</xdr:col>
      <xdr:colOff>0</xdr:colOff>
      <xdr:row>200</xdr:row>
      <xdr:rowOff>218660</xdr:rowOff>
    </xdr:to>
    <xdr:sp macro="" textlink="">
      <xdr:nvSpPr>
        <xdr:cNvPr id="761" name="직사각형 760">
          <a:extLst>
            <a:ext uri="{FF2B5EF4-FFF2-40B4-BE49-F238E27FC236}">
              <a16:creationId xmlns:a16="http://schemas.microsoft.com/office/drawing/2014/main" id="{44B66C79-4A5D-4356-9A93-8EFE8BBAA38D}"/>
            </a:ext>
          </a:extLst>
        </xdr:cNvPr>
        <xdr:cNvSpPr/>
      </xdr:nvSpPr>
      <xdr:spPr>
        <a:xfrm>
          <a:off x="147458253" y="62594836"/>
          <a:ext cx="175783" cy="883679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156</xdr:col>
      <xdr:colOff>0</xdr:colOff>
      <xdr:row>191</xdr:row>
      <xdr:rowOff>13253</xdr:rowOff>
    </xdr:from>
    <xdr:to>
      <xdr:col>156</xdr:col>
      <xdr:colOff>180000</xdr:colOff>
      <xdr:row>195</xdr:row>
      <xdr:rowOff>1</xdr:rowOff>
    </xdr:to>
    <xdr:sp macro="" textlink="">
      <xdr:nvSpPr>
        <xdr:cNvPr id="762" name="직사각형 761">
          <a:extLst>
            <a:ext uri="{FF2B5EF4-FFF2-40B4-BE49-F238E27FC236}">
              <a16:creationId xmlns:a16="http://schemas.microsoft.com/office/drawing/2014/main" id="{899C9422-1384-4E1F-80C1-89F8F2BA0B61}"/>
            </a:ext>
          </a:extLst>
        </xdr:cNvPr>
        <xdr:cNvSpPr/>
      </xdr:nvSpPr>
      <xdr:spPr>
        <a:xfrm>
          <a:off x="152954182" y="61278053"/>
          <a:ext cx="180000" cy="873439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156</xdr:col>
      <xdr:colOff>0</xdr:colOff>
      <xdr:row>197</xdr:row>
      <xdr:rowOff>1</xdr:rowOff>
    </xdr:from>
    <xdr:to>
      <xdr:col>156</xdr:col>
      <xdr:colOff>180000</xdr:colOff>
      <xdr:row>201</xdr:row>
      <xdr:rowOff>0</xdr:rowOff>
    </xdr:to>
    <xdr:sp macro="" textlink="">
      <xdr:nvSpPr>
        <xdr:cNvPr id="763" name="직사각형 762">
          <a:extLst>
            <a:ext uri="{FF2B5EF4-FFF2-40B4-BE49-F238E27FC236}">
              <a16:creationId xmlns:a16="http://schemas.microsoft.com/office/drawing/2014/main" id="{D4968314-453A-4855-A170-E1E9F7136D29}"/>
            </a:ext>
          </a:extLst>
        </xdr:cNvPr>
        <xdr:cNvSpPr/>
      </xdr:nvSpPr>
      <xdr:spPr>
        <a:xfrm>
          <a:off x="152954182" y="62594837"/>
          <a:ext cx="180000" cy="88669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148</xdr:col>
      <xdr:colOff>0</xdr:colOff>
      <xdr:row>228</xdr:row>
      <xdr:rowOff>1</xdr:rowOff>
    </xdr:from>
    <xdr:to>
      <xdr:col>156</xdr:col>
      <xdr:colOff>524</xdr:colOff>
      <xdr:row>229</xdr:row>
      <xdr:rowOff>0</xdr:rowOff>
    </xdr:to>
    <xdr:sp macro="" textlink="">
      <xdr:nvSpPr>
        <xdr:cNvPr id="764" name="직사각형 763">
          <a:extLst>
            <a:ext uri="{FF2B5EF4-FFF2-40B4-BE49-F238E27FC236}">
              <a16:creationId xmlns:a16="http://schemas.microsoft.com/office/drawing/2014/main" id="{C0832A3B-69AF-4839-936E-326212C1805A}"/>
            </a:ext>
          </a:extLst>
        </xdr:cNvPr>
        <xdr:cNvSpPr/>
      </xdr:nvSpPr>
      <xdr:spPr>
        <a:xfrm>
          <a:off x="147634036" y="69522110"/>
          <a:ext cx="5320670" cy="221672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148</xdr:col>
      <xdr:colOff>0</xdr:colOff>
      <xdr:row>227</xdr:row>
      <xdr:rowOff>1919</xdr:rowOff>
    </xdr:from>
    <xdr:to>
      <xdr:col>156</xdr:col>
      <xdr:colOff>524</xdr:colOff>
      <xdr:row>228</xdr:row>
      <xdr:rowOff>0</xdr:rowOff>
    </xdr:to>
    <xdr:sp macro="" textlink="">
      <xdr:nvSpPr>
        <xdr:cNvPr id="765" name="직사각형 764">
          <a:extLst>
            <a:ext uri="{FF2B5EF4-FFF2-40B4-BE49-F238E27FC236}">
              <a16:creationId xmlns:a16="http://schemas.microsoft.com/office/drawing/2014/main" id="{8C790B92-478D-4875-95D8-FC59C9120A8F}"/>
            </a:ext>
          </a:extLst>
        </xdr:cNvPr>
        <xdr:cNvSpPr/>
      </xdr:nvSpPr>
      <xdr:spPr>
        <a:xfrm>
          <a:off x="147634036" y="69302355"/>
          <a:ext cx="5320670" cy="219754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148</xdr:col>
      <xdr:colOff>0</xdr:colOff>
      <xdr:row>218</xdr:row>
      <xdr:rowOff>0</xdr:rowOff>
    </xdr:from>
    <xdr:to>
      <xdr:col>156</xdr:col>
      <xdr:colOff>524</xdr:colOff>
      <xdr:row>219</xdr:row>
      <xdr:rowOff>0</xdr:rowOff>
    </xdr:to>
    <xdr:sp macro="" textlink="">
      <xdr:nvSpPr>
        <xdr:cNvPr id="766" name="직사각형 765">
          <a:extLst>
            <a:ext uri="{FF2B5EF4-FFF2-40B4-BE49-F238E27FC236}">
              <a16:creationId xmlns:a16="http://schemas.microsoft.com/office/drawing/2014/main" id="{BAD966CE-DD94-4D55-99EB-C9CE8812B516}"/>
            </a:ext>
          </a:extLst>
        </xdr:cNvPr>
        <xdr:cNvSpPr/>
      </xdr:nvSpPr>
      <xdr:spPr>
        <a:xfrm>
          <a:off x="147634036" y="67305382"/>
          <a:ext cx="5320670" cy="221673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148</xdr:col>
      <xdr:colOff>0</xdr:colOff>
      <xdr:row>217</xdr:row>
      <xdr:rowOff>1919</xdr:rowOff>
    </xdr:from>
    <xdr:to>
      <xdr:col>156</xdr:col>
      <xdr:colOff>524</xdr:colOff>
      <xdr:row>218</xdr:row>
      <xdr:rowOff>0</xdr:rowOff>
    </xdr:to>
    <xdr:sp macro="" textlink="">
      <xdr:nvSpPr>
        <xdr:cNvPr id="767" name="직사각형 766">
          <a:extLst>
            <a:ext uri="{FF2B5EF4-FFF2-40B4-BE49-F238E27FC236}">
              <a16:creationId xmlns:a16="http://schemas.microsoft.com/office/drawing/2014/main" id="{DA332999-74AE-41EC-B7D0-0AD08B748DCD}"/>
            </a:ext>
          </a:extLst>
        </xdr:cNvPr>
        <xdr:cNvSpPr/>
      </xdr:nvSpPr>
      <xdr:spPr>
        <a:xfrm>
          <a:off x="147634036" y="67085628"/>
          <a:ext cx="5320670" cy="219754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148</xdr:col>
      <xdr:colOff>0</xdr:colOff>
      <xdr:row>213</xdr:row>
      <xdr:rowOff>220579</xdr:rowOff>
    </xdr:from>
    <xdr:to>
      <xdr:col>156</xdr:col>
      <xdr:colOff>524</xdr:colOff>
      <xdr:row>216</xdr:row>
      <xdr:rowOff>218660</xdr:rowOff>
    </xdr:to>
    <xdr:sp macro="" textlink="">
      <xdr:nvSpPr>
        <xdr:cNvPr id="768" name="직사각형 767">
          <a:extLst>
            <a:ext uri="{FF2B5EF4-FFF2-40B4-BE49-F238E27FC236}">
              <a16:creationId xmlns:a16="http://schemas.microsoft.com/office/drawing/2014/main" id="{00341E93-D031-4CCB-BFCC-F60B3805047C}"/>
            </a:ext>
          </a:extLst>
        </xdr:cNvPr>
        <xdr:cNvSpPr/>
      </xdr:nvSpPr>
      <xdr:spPr>
        <a:xfrm>
          <a:off x="147634036" y="66417597"/>
          <a:ext cx="5320670" cy="663099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148</xdr:col>
      <xdr:colOff>669235</xdr:colOff>
      <xdr:row>214</xdr:row>
      <xdr:rowOff>220579</xdr:rowOff>
    </xdr:from>
    <xdr:to>
      <xdr:col>155</xdr:col>
      <xdr:colOff>1</xdr:colOff>
      <xdr:row>215</xdr:row>
      <xdr:rowOff>218660</xdr:rowOff>
    </xdr:to>
    <xdr:sp macro="" textlink="">
      <xdr:nvSpPr>
        <xdr:cNvPr id="769" name="직사각형 768">
          <a:extLst>
            <a:ext uri="{FF2B5EF4-FFF2-40B4-BE49-F238E27FC236}">
              <a16:creationId xmlns:a16="http://schemas.microsoft.com/office/drawing/2014/main" id="{4B10A35F-EBBD-4A72-9897-8C0091B9DD9B}"/>
            </a:ext>
          </a:extLst>
        </xdr:cNvPr>
        <xdr:cNvSpPr/>
      </xdr:nvSpPr>
      <xdr:spPr>
        <a:xfrm>
          <a:off x="148303271" y="66639270"/>
          <a:ext cx="3985894" cy="21975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148</xdr:col>
      <xdr:colOff>0</xdr:colOff>
      <xdr:row>229</xdr:row>
      <xdr:rowOff>0</xdr:rowOff>
    </xdr:from>
    <xdr:to>
      <xdr:col>156</xdr:col>
      <xdr:colOff>524</xdr:colOff>
      <xdr:row>231</xdr:row>
      <xdr:rowOff>218660</xdr:rowOff>
    </xdr:to>
    <xdr:sp macro="" textlink="">
      <xdr:nvSpPr>
        <xdr:cNvPr id="770" name="직사각형 769">
          <a:extLst>
            <a:ext uri="{FF2B5EF4-FFF2-40B4-BE49-F238E27FC236}">
              <a16:creationId xmlns:a16="http://schemas.microsoft.com/office/drawing/2014/main" id="{741707F3-99FA-4030-8531-434591320B42}"/>
            </a:ext>
          </a:extLst>
        </xdr:cNvPr>
        <xdr:cNvSpPr/>
      </xdr:nvSpPr>
      <xdr:spPr>
        <a:xfrm>
          <a:off x="147634036" y="69743782"/>
          <a:ext cx="5320670" cy="662005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148</xdr:col>
      <xdr:colOff>669235</xdr:colOff>
      <xdr:row>230</xdr:row>
      <xdr:rowOff>0</xdr:rowOff>
    </xdr:from>
    <xdr:to>
      <xdr:col>155</xdr:col>
      <xdr:colOff>1</xdr:colOff>
      <xdr:row>230</xdr:row>
      <xdr:rowOff>218660</xdr:rowOff>
    </xdr:to>
    <xdr:sp macro="" textlink="">
      <xdr:nvSpPr>
        <xdr:cNvPr id="771" name="직사각형 770">
          <a:extLst>
            <a:ext uri="{FF2B5EF4-FFF2-40B4-BE49-F238E27FC236}">
              <a16:creationId xmlns:a16="http://schemas.microsoft.com/office/drawing/2014/main" id="{0AF52EAA-8F3F-4365-8CDD-919C8533ECB8}"/>
            </a:ext>
          </a:extLst>
        </xdr:cNvPr>
        <xdr:cNvSpPr/>
      </xdr:nvSpPr>
      <xdr:spPr>
        <a:xfrm>
          <a:off x="148303271" y="69965455"/>
          <a:ext cx="3985894" cy="218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150</xdr:col>
      <xdr:colOff>0</xdr:colOff>
      <xdr:row>220</xdr:row>
      <xdr:rowOff>8965</xdr:rowOff>
    </xdr:from>
    <xdr:to>
      <xdr:col>154</xdr:col>
      <xdr:colOff>0</xdr:colOff>
      <xdr:row>226</xdr:row>
      <xdr:rowOff>0</xdr:rowOff>
    </xdr:to>
    <xdr:sp macro="" textlink="">
      <xdr:nvSpPr>
        <xdr:cNvPr id="772" name="사각형: 둥근 모서리 771">
          <a:extLst>
            <a:ext uri="{FF2B5EF4-FFF2-40B4-BE49-F238E27FC236}">
              <a16:creationId xmlns:a16="http://schemas.microsoft.com/office/drawing/2014/main" id="{AB17D8D5-DCD9-40EB-9951-CA9C0D27C508}"/>
            </a:ext>
          </a:extLst>
        </xdr:cNvPr>
        <xdr:cNvSpPr/>
      </xdr:nvSpPr>
      <xdr:spPr>
        <a:xfrm>
          <a:off x="148964073" y="67757692"/>
          <a:ext cx="2660072" cy="1321072"/>
        </a:xfrm>
        <a:prstGeom prst="roundRect">
          <a:avLst/>
        </a:prstGeom>
        <a:ln w="57150">
          <a:solidFill>
            <a:schemeClr val="tx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147</xdr:col>
      <xdr:colOff>1358</xdr:colOff>
      <xdr:row>218</xdr:row>
      <xdr:rowOff>0</xdr:rowOff>
    </xdr:from>
    <xdr:to>
      <xdr:col>148</xdr:col>
      <xdr:colOff>0</xdr:colOff>
      <xdr:row>219</xdr:row>
      <xdr:rowOff>8707</xdr:rowOff>
    </xdr:to>
    <xdr:sp macro="" textlink="">
      <xdr:nvSpPr>
        <xdr:cNvPr id="773" name="직사각형 772">
          <a:extLst>
            <a:ext uri="{FF2B5EF4-FFF2-40B4-BE49-F238E27FC236}">
              <a16:creationId xmlns:a16="http://schemas.microsoft.com/office/drawing/2014/main" id="{3FDD4770-3557-4B1A-8AFD-64414FB42902}"/>
            </a:ext>
          </a:extLst>
        </xdr:cNvPr>
        <xdr:cNvSpPr/>
      </xdr:nvSpPr>
      <xdr:spPr>
        <a:xfrm>
          <a:off x="146970376" y="67305382"/>
          <a:ext cx="663660" cy="23038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147</xdr:col>
      <xdr:colOff>0</xdr:colOff>
      <xdr:row>226</xdr:row>
      <xdr:rowOff>206829</xdr:rowOff>
    </xdr:from>
    <xdr:to>
      <xdr:col>148</xdr:col>
      <xdr:colOff>2321</xdr:colOff>
      <xdr:row>227</xdr:row>
      <xdr:rowOff>218315</xdr:rowOff>
    </xdr:to>
    <xdr:sp macro="" textlink="">
      <xdr:nvSpPr>
        <xdr:cNvPr id="774" name="직사각형 773">
          <a:extLst>
            <a:ext uri="{FF2B5EF4-FFF2-40B4-BE49-F238E27FC236}">
              <a16:creationId xmlns:a16="http://schemas.microsoft.com/office/drawing/2014/main" id="{176B7CB8-70EE-4603-83A5-B032A75D2093}"/>
            </a:ext>
          </a:extLst>
        </xdr:cNvPr>
        <xdr:cNvSpPr/>
      </xdr:nvSpPr>
      <xdr:spPr>
        <a:xfrm>
          <a:off x="146969018" y="69285593"/>
          <a:ext cx="667339" cy="233158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156</xdr:col>
      <xdr:colOff>1</xdr:colOff>
      <xdr:row>218</xdr:row>
      <xdr:rowOff>8312</xdr:rowOff>
    </xdr:from>
    <xdr:to>
      <xdr:col>156</xdr:col>
      <xdr:colOff>671208</xdr:colOff>
      <xdr:row>218</xdr:row>
      <xdr:rowOff>220492</xdr:rowOff>
    </xdr:to>
    <xdr:sp macro="" textlink="">
      <xdr:nvSpPr>
        <xdr:cNvPr id="775" name="직사각형 774">
          <a:extLst>
            <a:ext uri="{FF2B5EF4-FFF2-40B4-BE49-F238E27FC236}">
              <a16:creationId xmlns:a16="http://schemas.microsoft.com/office/drawing/2014/main" id="{EC998C92-942E-4684-9727-029B62FA283B}"/>
            </a:ext>
          </a:extLst>
        </xdr:cNvPr>
        <xdr:cNvSpPr/>
      </xdr:nvSpPr>
      <xdr:spPr>
        <a:xfrm>
          <a:off x="152954183" y="67313694"/>
          <a:ext cx="671207" cy="21218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155</xdr:col>
      <xdr:colOff>667206</xdr:colOff>
      <xdr:row>226</xdr:row>
      <xdr:rowOff>207924</xdr:rowOff>
    </xdr:from>
    <xdr:to>
      <xdr:col>156</xdr:col>
      <xdr:colOff>671208</xdr:colOff>
      <xdr:row>227</xdr:row>
      <xdr:rowOff>206828</xdr:rowOff>
    </xdr:to>
    <xdr:sp macro="" textlink="">
      <xdr:nvSpPr>
        <xdr:cNvPr id="776" name="직사각형 775">
          <a:extLst>
            <a:ext uri="{FF2B5EF4-FFF2-40B4-BE49-F238E27FC236}">
              <a16:creationId xmlns:a16="http://schemas.microsoft.com/office/drawing/2014/main" id="{7AA2B45D-A8A8-45BA-B71C-04BAB7EF5A88}"/>
            </a:ext>
          </a:extLst>
        </xdr:cNvPr>
        <xdr:cNvSpPr/>
      </xdr:nvSpPr>
      <xdr:spPr>
        <a:xfrm>
          <a:off x="152956370" y="69286688"/>
          <a:ext cx="669020" cy="220576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132</xdr:col>
      <xdr:colOff>0</xdr:colOff>
      <xdr:row>256</xdr:row>
      <xdr:rowOff>1</xdr:rowOff>
    </xdr:from>
    <xdr:to>
      <xdr:col>140</xdr:col>
      <xdr:colOff>524</xdr:colOff>
      <xdr:row>257</xdr:row>
      <xdr:rowOff>0</xdr:rowOff>
    </xdr:to>
    <xdr:sp macro="" textlink="">
      <xdr:nvSpPr>
        <xdr:cNvPr id="777" name="직사각형 776">
          <a:extLst>
            <a:ext uri="{FF2B5EF4-FFF2-40B4-BE49-F238E27FC236}">
              <a16:creationId xmlns:a16="http://schemas.microsoft.com/office/drawing/2014/main" id="{BBF73CEC-3719-4D8F-9C04-A3A4B5161B78}"/>
            </a:ext>
          </a:extLst>
        </xdr:cNvPr>
        <xdr:cNvSpPr/>
      </xdr:nvSpPr>
      <xdr:spPr>
        <a:xfrm>
          <a:off x="88513920" y="4968241"/>
          <a:ext cx="5365004" cy="213359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132</xdr:col>
      <xdr:colOff>0</xdr:colOff>
      <xdr:row>255</xdr:row>
      <xdr:rowOff>1919</xdr:rowOff>
    </xdr:from>
    <xdr:to>
      <xdr:col>140</xdr:col>
      <xdr:colOff>524</xdr:colOff>
      <xdr:row>256</xdr:row>
      <xdr:rowOff>0</xdr:rowOff>
    </xdr:to>
    <xdr:sp macro="" textlink="">
      <xdr:nvSpPr>
        <xdr:cNvPr id="778" name="직사각형 777">
          <a:extLst>
            <a:ext uri="{FF2B5EF4-FFF2-40B4-BE49-F238E27FC236}">
              <a16:creationId xmlns:a16="http://schemas.microsoft.com/office/drawing/2014/main" id="{458E5654-E3A2-4A58-93C5-AD95E36585BF}"/>
            </a:ext>
          </a:extLst>
        </xdr:cNvPr>
        <xdr:cNvSpPr/>
      </xdr:nvSpPr>
      <xdr:spPr>
        <a:xfrm>
          <a:off x="88513920" y="4756799"/>
          <a:ext cx="5365004" cy="211441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132</xdr:col>
      <xdr:colOff>0</xdr:colOff>
      <xdr:row>246</xdr:row>
      <xdr:rowOff>0</xdr:rowOff>
    </xdr:from>
    <xdr:to>
      <xdr:col>140</xdr:col>
      <xdr:colOff>524</xdr:colOff>
      <xdr:row>247</xdr:row>
      <xdr:rowOff>0</xdr:rowOff>
    </xdr:to>
    <xdr:sp macro="" textlink="">
      <xdr:nvSpPr>
        <xdr:cNvPr id="779" name="직사각형 778">
          <a:extLst>
            <a:ext uri="{FF2B5EF4-FFF2-40B4-BE49-F238E27FC236}">
              <a16:creationId xmlns:a16="http://schemas.microsoft.com/office/drawing/2014/main" id="{A064F570-1EA2-4843-9A33-E47231AC219B}"/>
            </a:ext>
          </a:extLst>
        </xdr:cNvPr>
        <xdr:cNvSpPr/>
      </xdr:nvSpPr>
      <xdr:spPr>
        <a:xfrm>
          <a:off x="88513920" y="2804160"/>
          <a:ext cx="5365004" cy="24384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132</xdr:col>
      <xdr:colOff>0</xdr:colOff>
      <xdr:row>245</xdr:row>
      <xdr:rowOff>1919</xdr:rowOff>
    </xdr:from>
    <xdr:to>
      <xdr:col>140</xdr:col>
      <xdr:colOff>524</xdr:colOff>
      <xdr:row>246</xdr:row>
      <xdr:rowOff>0</xdr:rowOff>
    </xdr:to>
    <xdr:sp macro="" textlink="">
      <xdr:nvSpPr>
        <xdr:cNvPr id="780" name="직사각형 779">
          <a:extLst>
            <a:ext uri="{FF2B5EF4-FFF2-40B4-BE49-F238E27FC236}">
              <a16:creationId xmlns:a16="http://schemas.microsoft.com/office/drawing/2014/main" id="{A9AD14AE-03F1-4BBC-9E42-2333596451E7}"/>
            </a:ext>
          </a:extLst>
        </xdr:cNvPr>
        <xdr:cNvSpPr/>
      </xdr:nvSpPr>
      <xdr:spPr>
        <a:xfrm>
          <a:off x="88513920" y="2562239"/>
          <a:ext cx="5365004" cy="241921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132</xdr:col>
      <xdr:colOff>0</xdr:colOff>
      <xdr:row>241</xdr:row>
      <xdr:rowOff>220579</xdr:rowOff>
    </xdr:from>
    <xdr:to>
      <xdr:col>140</xdr:col>
      <xdr:colOff>524</xdr:colOff>
      <xdr:row>244</xdr:row>
      <xdr:rowOff>218660</xdr:rowOff>
    </xdr:to>
    <xdr:sp macro="" textlink="">
      <xdr:nvSpPr>
        <xdr:cNvPr id="781" name="직사각형 780">
          <a:extLst>
            <a:ext uri="{FF2B5EF4-FFF2-40B4-BE49-F238E27FC236}">
              <a16:creationId xmlns:a16="http://schemas.microsoft.com/office/drawing/2014/main" id="{D0E116D2-1F40-4ED2-9796-E69C7910E343}"/>
            </a:ext>
          </a:extLst>
        </xdr:cNvPr>
        <xdr:cNvSpPr/>
      </xdr:nvSpPr>
      <xdr:spPr>
        <a:xfrm>
          <a:off x="88513920" y="1836019"/>
          <a:ext cx="5365004" cy="699121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132</xdr:col>
      <xdr:colOff>669235</xdr:colOff>
      <xdr:row>242</xdr:row>
      <xdr:rowOff>220579</xdr:rowOff>
    </xdr:from>
    <xdr:to>
      <xdr:col>139</xdr:col>
      <xdr:colOff>1</xdr:colOff>
      <xdr:row>243</xdr:row>
      <xdr:rowOff>218660</xdr:rowOff>
    </xdr:to>
    <xdr:sp macro="" textlink="">
      <xdr:nvSpPr>
        <xdr:cNvPr id="782" name="직사각형 781">
          <a:extLst>
            <a:ext uri="{FF2B5EF4-FFF2-40B4-BE49-F238E27FC236}">
              <a16:creationId xmlns:a16="http://schemas.microsoft.com/office/drawing/2014/main" id="{D07C53F6-B8D8-4190-A170-1FE844677919}"/>
            </a:ext>
          </a:extLst>
        </xdr:cNvPr>
        <xdr:cNvSpPr/>
      </xdr:nvSpPr>
      <xdr:spPr>
        <a:xfrm>
          <a:off x="89183155" y="2049379"/>
          <a:ext cx="4024686" cy="24192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132</xdr:col>
      <xdr:colOff>0</xdr:colOff>
      <xdr:row>257</xdr:row>
      <xdr:rowOff>0</xdr:rowOff>
    </xdr:from>
    <xdr:to>
      <xdr:col>140</xdr:col>
      <xdr:colOff>524</xdr:colOff>
      <xdr:row>259</xdr:row>
      <xdr:rowOff>218660</xdr:rowOff>
    </xdr:to>
    <xdr:sp macro="" textlink="">
      <xdr:nvSpPr>
        <xdr:cNvPr id="783" name="직사각형 782">
          <a:extLst>
            <a:ext uri="{FF2B5EF4-FFF2-40B4-BE49-F238E27FC236}">
              <a16:creationId xmlns:a16="http://schemas.microsoft.com/office/drawing/2014/main" id="{58FF2E98-3B31-440F-AB1F-18E9CD0D523E}"/>
            </a:ext>
          </a:extLst>
        </xdr:cNvPr>
        <xdr:cNvSpPr/>
      </xdr:nvSpPr>
      <xdr:spPr>
        <a:xfrm>
          <a:off x="88513920" y="5181600"/>
          <a:ext cx="5365004" cy="64538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132</xdr:col>
      <xdr:colOff>669235</xdr:colOff>
      <xdr:row>258</xdr:row>
      <xdr:rowOff>0</xdr:rowOff>
    </xdr:from>
    <xdr:to>
      <xdr:col>139</xdr:col>
      <xdr:colOff>1</xdr:colOff>
      <xdr:row>258</xdr:row>
      <xdr:rowOff>218660</xdr:rowOff>
    </xdr:to>
    <xdr:sp macro="" textlink="">
      <xdr:nvSpPr>
        <xdr:cNvPr id="784" name="직사각형 783">
          <a:extLst>
            <a:ext uri="{FF2B5EF4-FFF2-40B4-BE49-F238E27FC236}">
              <a16:creationId xmlns:a16="http://schemas.microsoft.com/office/drawing/2014/main" id="{8C4D2F51-9F2F-4F89-9C17-FA9F09DB3BCB}"/>
            </a:ext>
          </a:extLst>
        </xdr:cNvPr>
        <xdr:cNvSpPr/>
      </xdr:nvSpPr>
      <xdr:spPr>
        <a:xfrm>
          <a:off x="89183155" y="5394960"/>
          <a:ext cx="4024686" cy="218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131</xdr:col>
      <xdr:colOff>-1</xdr:colOff>
      <xdr:row>246</xdr:row>
      <xdr:rowOff>10886</xdr:rowOff>
    </xdr:from>
    <xdr:to>
      <xdr:col>132</xdr:col>
      <xdr:colOff>0</xdr:colOff>
      <xdr:row>247</xdr:row>
      <xdr:rowOff>0</xdr:rowOff>
    </xdr:to>
    <xdr:sp macro="" textlink="">
      <xdr:nvSpPr>
        <xdr:cNvPr id="785" name="직사각형 784">
          <a:extLst>
            <a:ext uri="{FF2B5EF4-FFF2-40B4-BE49-F238E27FC236}">
              <a16:creationId xmlns:a16="http://schemas.microsoft.com/office/drawing/2014/main" id="{177773DA-6A5B-4937-8765-F36121884506}"/>
            </a:ext>
          </a:extLst>
        </xdr:cNvPr>
        <xdr:cNvSpPr/>
      </xdr:nvSpPr>
      <xdr:spPr>
        <a:xfrm>
          <a:off x="87843359" y="2815046"/>
          <a:ext cx="670561" cy="232954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130</xdr:col>
      <xdr:colOff>669757</xdr:colOff>
      <xdr:row>254</xdr:row>
      <xdr:rowOff>220579</xdr:rowOff>
    </xdr:from>
    <xdr:to>
      <xdr:col>131</xdr:col>
      <xdr:colOff>669757</xdr:colOff>
      <xdr:row>255</xdr:row>
      <xdr:rowOff>220578</xdr:rowOff>
    </xdr:to>
    <xdr:sp macro="" textlink="">
      <xdr:nvSpPr>
        <xdr:cNvPr id="786" name="직사각형 785">
          <a:extLst>
            <a:ext uri="{FF2B5EF4-FFF2-40B4-BE49-F238E27FC236}">
              <a16:creationId xmlns:a16="http://schemas.microsoft.com/office/drawing/2014/main" id="{8389EA4E-5AC7-4EB3-BEB1-3308E554E253}"/>
            </a:ext>
          </a:extLst>
        </xdr:cNvPr>
        <xdr:cNvSpPr/>
      </xdr:nvSpPr>
      <xdr:spPr>
        <a:xfrm>
          <a:off x="87842557" y="4762099"/>
          <a:ext cx="670560" cy="213359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140</xdr:col>
      <xdr:colOff>0</xdr:colOff>
      <xdr:row>246</xdr:row>
      <xdr:rowOff>10886</xdr:rowOff>
    </xdr:from>
    <xdr:to>
      <xdr:col>141</xdr:col>
      <xdr:colOff>-1</xdr:colOff>
      <xdr:row>247</xdr:row>
      <xdr:rowOff>0</xdr:rowOff>
    </xdr:to>
    <xdr:sp macro="" textlink="">
      <xdr:nvSpPr>
        <xdr:cNvPr id="787" name="직사각형 786">
          <a:extLst>
            <a:ext uri="{FF2B5EF4-FFF2-40B4-BE49-F238E27FC236}">
              <a16:creationId xmlns:a16="http://schemas.microsoft.com/office/drawing/2014/main" id="{AF107813-8F57-4341-9FF5-8CDF41823DB4}"/>
            </a:ext>
          </a:extLst>
        </xdr:cNvPr>
        <xdr:cNvSpPr/>
      </xdr:nvSpPr>
      <xdr:spPr>
        <a:xfrm>
          <a:off x="93878400" y="2815046"/>
          <a:ext cx="670559" cy="232954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140</xdr:col>
      <xdr:colOff>0</xdr:colOff>
      <xdr:row>255</xdr:row>
      <xdr:rowOff>1</xdr:rowOff>
    </xdr:from>
    <xdr:to>
      <xdr:col>140</xdr:col>
      <xdr:colOff>669757</xdr:colOff>
      <xdr:row>255</xdr:row>
      <xdr:rowOff>220579</xdr:rowOff>
    </xdr:to>
    <xdr:sp macro="" textlink="">
      <xdr:nvSpPr>
        <xdr:cNvPr id="788" name="직사각형 787">
          <a:extLst>
            <a:ext uri="{FF2B5EF4-FFF2-40B4-BE49-F238E27FC236}">
              <a16:creationId xmlns:a16="http://schemas.microsoft.com/office/drawing/2014/main" id="{FB99A60F-CB77-4427-A51F-598A3754A85B}"/>
            </a:ext>
          </a:extLst>
        </xdr:cNvPr>
        <xdr:cNvSpPr/>
      </xdr:nvSpPr>
      <xdr:spPr>
        <a:xfrm>
          <a:off x="93878400" y="4754881"/>
          <a:ext cx="669757" cy="220578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139</xdr:col>
      <xdr:colOff>667293</xdr:colOff>
      <xdr:row>30</xdr:row>
      <xdr:rowOff>2</xdr:rowOff>
    </xdr:from>
    <xdr:to>
      <xdr:col>142</xdr:col>
      <xdr:colOff>5601</xdr:colOff>
      <xdr:row>104</xdr:row>
      <xdr:rowOff>1</xdr:rowOff>
    </xdr:to>
    <xdr:sp macro="" textlink="">
      <xdr:nvSpPr>
        <xdr:cNvPr id="803" name="화살표: 오른쪽 802">
          <a:extLst>
            <a:ext uri="{FF2B5EF4-FFF2-40B4-BE49-F238E27FC236}">
              <a16:creationId xmlns:a16="http://schemas.microsoft.com/office/drawing/2014/main" id="{515B903B-381F-E784-59B9-20133378A511}"/>
            </a:ext>
          </a:extLst>
        </xdr:cNvPr>
        <xdr:cNvSpPr/>
      </xdr:nvSpPr>
      <xdr:spPr>
        <a:xfrm rot="5400000">
          <a:off x="87057491" y="14084947"/>
          <a:ext cx="16208828" cy="1363051"/>
        </a:xfrm>
        <a:prstGeom prst="rightArrow">
          <a:avLst/>
        </a:prstGeom>
        <a:solidFill>
          <a:schemeClr val="bg1">
            <a:lumMod val="95000"/>
          </a:schemeClr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129</xdr:col>
      <xdr:colOff>661691</xdr:colOff>
      <xdr:row>164</xdr:row>
      <xdr:rowOff>1</xdr:rowOff>
    </xdr:from>
    <xdr:to>
      <xdr:col>132</xdr:col>
      <xdr:colOff>-1</xdr:colOff>
      <xdr:row>238</xdr:row>
      <xdr:rowOff>43544</xdr:rowOff>
    </xdr:to>
    <xdr:sp macro="" textlink="">
      <xdr:nvSpPr>
        <xdr:cNvPr id="805" name="화살표: 오른쪽 804">
          <a:extLst>
            <a:ext uri="{FF2B5EF4-FFF2-40B4-BE49-F238E27FC236}">
              <a16:creationId xmlns:a16="http://schemas.microsoft.com/office/drawing/2014/main" id="{E52D51EB-DAA3-4718-B203-A29B2DC1E8B7}"/>
            </a:ext>
          </a:extLst>
        </xdr:cNvPr>
        <xdr:cNvSpPr/>
      </xdr:nvSpPr>
      <xdr:spPr>
        <a:xfrm rot="5400000">
          <a:off x="80302746" y="43476375"/>
          <a:ext cx="16208828" cy="1363051"/>
        </a:xfrm>
        <a:prstGeom prst="rightArrow">
          <a:avLst/>
        </a:prstGeom>
        <a:solidFill>
          <a:schemeClr val="bg1">
            <a:lumMod val="95000"/>
          </a:schemeClr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29F79-E61F-4AA8-B7CD-CA18D0FEDD42}">
  <dimension ref="B4:AS78"/>
  <sheetViews>
    <sheetView topLeftCell="A9" zoomScale="85" zoomScaleNormal="85" workbookViewId="0">
      <selection activeCell="G56" sqref="G56"/>
    </sheetView>
  </sheetViews>
  <sheetFormatPr defaultRowHeight="17.399999999999999" x14ac:dyDescent="0.4"/>
  <sheetData>
    <row r="4" spans="10:29" ht="18" thickBot="1" x14ac:dyDescent="0.45"/>
    <row r="5" spans="10:29" x14ac:dyDescent="0.4">
      <c r="J5" s="128" t="s">
        <v>222</v>
      </c>
      <c r="K5" s="129"/>
      <c r="L5" s="129"/>
      <c r="M5" s="129"/>
      <c r="N5" s="129"/>
      <c r="O5" s="130"/>
    </row>
    <row r="6" spans="10:29" x14ac:dyDescent="0.4">
      <c r="J6" s="131"/>
      <c r="K6" s="132"/>
      <c r="L6" s="132"/>
      <c r="M6" s="132"/>
      <c r="N6" s="132"/>
      <c r="O6" s="133"/>
    </row>
    <row r="7" spans="10:29" ht="18" thickBot="1" x14ac:dyDescent="0.45">
      <c r="J7" s="134"/>
      <c r="K7" s="135"/>
      <c r="L7" s="135"/>
      <c r="M7" s="135"/>
      <c r="N7" s="135"/>
      <c r="O7" s="136"/>
    </row>
    <row r="9" spans="10:29" ht="18" thickBot="1" x14ac:dyDescent="0.45"/>
    <row r="10" spans="10:29" ht="18" thickBot="1" x14ac:dyDescent="0.45">
      <c r="W10" s="27" t="s">
        <v>233</v>
      </c>
    </row>
    <row r="11" spans="10:29" x14ac:dyDescent="0.4">
      <c r="S11" s="48"/>
      <c r="T11" s="138" t="s">
        <v>225</v>
      </c>
      <c r="U11" s="139"/>
      <c r="V11" s="140"/>
      <c r="W11" s="56" t="s">
        <v>232</v>
      </c>
    </row>
    <row r="12" spans="10:29" x14ac:dyDescent="0.4">
      <c r="S12" s="49"/>
      <c r="T12" s="120" t="s">
        <v>224</v>
      </c>
      <c r="U12" s="121"/>
      <c r="V12" s="122"/>
      <c r="W12" s="57" t="s">
        <v>232</v>
      </c>
    </row>
    <row r="13" spans="10:29" x14ac:dyDescent="0.4">
      <c r="S13" s="50"/>
      <c r="T13" s="120" t="s">
        <v>227</v>
      </c>
      <c r="U13" s="121"/>
      <c r="V13" s="122"/>
      <c r="W13" s="57" t="s">
        <v>232</v>
      </c>
    </row>
    <row r="14" spans="10:29" x14ac:dyDescent="0.4">
      <c r="S14" s="51"/>
      <c r="T14" s="120" t="s">
        <v>226</v>
      </c>
      <c r="U14" s="121"/>
      <c r="V14" s="122"/>
      <c r="W14" s="57" t="s">
        <v>232</v>
      </c>
      <c r="AA14" s="83"/>
      <c r="AB14" s="83"/>
      <c r="AC14" s="83"/>
    </row>
    <row r="15" spans="10:29" x14ac:dyDescent="0.4">
      <c r="S15" s="52"/>
      <c r="T15" s="120" t="s">
        <v>228</v>
      </c>
      <c r="U15" s="121"/>
      <c r="V15" s="122"/>
      <c r="W15" s="57" t="s">
        <v>232</v>
      </c>
      <c r="AA15" s="83"/>
      <c r="AB15" s="83"/>
      <c r="AC15" s="83"/>
    </row>
    <row r="16" spans="10:29" x14ac:dyDescent="0.4">
      <c r="S16" s="53"/>
      <c r="T16" s="120" t="s">
        <v>229</v>
      </c>
      <c r="U16" s="121"/>
      <c r="V16" s="122"/>
      <c r="W16" s="57" t="s">
        <v>232</v>
      </c>
      <c r="AA16" s="83"/>
      <c r="AB16" s="83"/>
      <c r="AC16" s="83"/>
    </row>
    <row r="17" spans="2:45" x14ac:dyDescent="0.4">
      <c r="S17" s="54"/>
      <c r="T17" s="120" t="s">
        <v>223</v>
      </c>
      <c r="U17" s="121"/>
      <c r="V17" s="122"/>
      <c r="W17" s="57" t="s">
        <v>232</v>
      </c>
      <c r="AA17" s="83"/>
      <c r="AB17" s="83"/>
      <c r="AC17" s="83"/>
    </row>
    <row r="18" spans="2:45" x14ac:dyDescent="0.4">
      <c r="S18" s="55"/>
      <c r="T18" s="120" t="s">
        <v>230</v>
      </c>
      <c r="U18" s="121"/>
      <c r="V18" s="122"/>
      <c r="W18" s="57" t="s">
        <v>232</v>
      </c>
      <c r="AA18" s="83"/>
      <c r="AB18" s="83"/>
      <c r="AC18" s="83"/>
    </row>
    <row r="19" spans="2:45" x14ac:dyDescent="0.4">
      <c r="S19" s="58"/>
      <c r="T19" s="120" t="s">
        <v>231</v>
      </c>
      <c r="U19" s="121"/>
      <c r="V19" s="122"/>
      <c r="W19" s="57" t="s">
        <v>232</v>
      </c>
      <c r="AA19" s="83"/>
      <c r="AB19" s="83"/>
      <c r="AC19" s="83"/>
    </row>
    <row r="20" spans="2:45" ht="18" thickBot="1" x14ac:dyDescent="0.45">
      <c r="S20" s="63" t="s">
        <v>380</v>
      </c>
      <c r="T20" s="141" t="s">
        <v>379</v>
      </c>
      <c r="U20" s="85"/>
      <c r="V20" s="86"/>
      <c r="W20" s="6" t="s">
        <v>232</v>
      </c>
      <c r="Y20" t="s">
        <v>436</v>
      </c>
      <c r="AA20" s="83"/>
      <c r="AB20" s="83"/>
      <c r="AC20" s="83"/>
    </row>
    <row r="21" spans="2:45" ht="18" thickBot="1" x14ac:dyDescent="0.45">
      <c r="V21" t="s">
        <v>269</v>
      </c>
      <c r="AA21" s="83"/>
      <c r="AB21" s="83"/>
      <c r="AC21" s="83"/>
    </row>
    <row r="22" spans="2:45" ht="18" thickBot="1" x14ac:dyDescent="0.45">
      <c r="AA22" s="26"/>
      <c r="AB22" s="137" t="s">
        <v>225</v>
      </c>
      <c r="AC22" s="118"/>
      <c r="AD22" s="119"/>
      <c r="AE22" s="114" t="s">
        <v>234</v>
      </c>
      <c r="AF22" s="115"/>
      <c r="AG22" s="114" t="s">
        <v>235</v>
      </c>
      <c r="AH22" s="115"/>
      <c r="AI22" s="114" t="s">
        <v>236</v>
      </c>
      <c r="AJ22" s="116"/>
      <c r="AK22" s="115"/>
      <c r="AL22" s="116" t="s">
        <v>237</v>
      </c>
      <c r="AM22" s="116"/>
      <c r="AN22" s="116"/>
      <c r="AO22" s="116"/>
      <c r="AP22" s="116"/>
      <c r="AQ22" s="116"/>
      <c r="AR22" s="116"/>
      <c r="AS22" s="115"/>
    </row>
    <row r="23" spans="2:45" ht="18" thickBot="1" x14ac:dyDescent="0.45">
      <c r="B23" s="126" t="s">
        <v>219</v>
      </c>
      <c r="C23" s="127"/>
      <c r="E23" s="126" t="s">
        <v>215</v>
      </c>
      <c r="F23" s="127"/>
      <c r="S23" s="126" t="s">
        <v>217</v>
      </c>
      <c r="T23" s="127"/>
      <c r="V23" s="126" t="s">
        <v>221</v>
      </c>
      <c r="W23" s="127"/>
      <c r="AB23" s="65"/>
      <c r="AC23" s="66"/>
      <c r="AD23" s="66"/>
      <c r="AE23" s="101" t="s">
        <v>239</v>
      </c>
      <c r="AF23" s="105"/>
      <c r="AG23" s="104" t="s">
        <v>242</v>
      </c>
      <c r="AH23" s="104"/>
      <c r="AI23" s="101" t="s">
        <v>245</v>
      </c>
      <c r="AJ23" s="104"/>
      <c r="AK23" s="105"/>
      <c r="AL23" s="104" t="s">
        <v>251</v>
      </c>
      <c r="AM23" s="102"/>
      <c r="AN23" s="103" t="s">
        <v>252</v>
      </c>
      <c r="AO23" s="102"/>
      <c r="AP23" s="142"/>
      <c r="AQ23" s="108"/>
      <c r="AR23" s="108"/>
      <c r="AS23" s="109"/>
    </row>
    <row r="24" spans="2:45" x14ac:dyDescent="0.4">
      <c r="B24" s="1" t="s">
        <v>40</v>
      </c>
      <c r="C24" s="2" t="s">
        <v>41</v>
      </c>
      <c r="D24" s="16">
        <v>1</v>
      </c>
      <c r="E24" s="1" t="s">
        <v>203</v>
      </c>
      <c r="F24" s="20" t="s">
        <v>13</v>
      </c>
      <c r="G24" s="16">
        <v>1</v>
      </c>
      <c r="R24" s="15">
        <v>1</v>
      </c>
      <c r="S24" s="17" t="s">
        <v>12</v>
      </c>
      <c r="T24" s="2" t="s">
        <v>157</v>
      </c>
      <c r="U24" s="15">
        <v>1</v>
      </c>
      <c r="V24" s="1" t="s">
        <v>39</v>
      </c>
      <c r="W24" s="2" t="s">
        <v>38</v>
      </c>
      <c r="AE24" s="87" t="s">
        <v>238</v>
      </c>
      <c r="AF24" s="94"/>
      <c r="AG24" s="93" t="s">
        <v>243</v>
      </c>
      <c r="AH24" s="93"/>
      <c r="AI24" s="87" t="s">
        <v>245</v>
      </c>
      <c r="AJ24" s="93"/>
      <c r="AK24" s="94"/>
      <c r="AL24" s="93" t="s">
        <v>253</v>
      </c>
      <c r="AM24" s="88"/>
      <c r="AN24" s="91" t="s">
        <v>254</v>
      </c>
      <c r="AO24" s="88"/>
      <c r="AP24" s="143"/>
      <c r="AQ24" s="144"/>
      <c r="AR24" s="144"/>
      <c r="AS24" s="145"/>
    </row>
    <row r="25" spans="2:45" ht="18" thickBot="1" x14ac:dyDescent="0.45">
      <c r="B25" s="3" t="s">
        <v>42</v>
      </c>
      <c r="C25" s="4" t="s">
        <v>43</v>
      </c>
      <c r="D25" s="16">
        <v>2</v>
      </c>
      <c r="E25" s="3" t="s">
        <v>204</v>
      </c>
      <c r="F25" s="23" t="s">
        <v>14</v>
      </c>
      <c r="G25" s="16">
        <v>2</v>
      </c>
      <c r="R25" s="15">
        <v>2</v>
      </c>
      <c r="S25" s="3" t="s">
        <v>173</v>
      </c>
      <c r="T25" s="4" t="s">
        <v>158</v>
      </c>
      <c r="U25" s="15">
        <v>2</v>
      </c>
      <c r="V25" s="3" t="s">
        <v>61</v>
      </c>
      <c r="W25" s="4" t="s">
        <v>60</v>
      </c>
      <c r="AE25" s="87" t="s">
        <v>240</v>
      </c>
      <c r="AF25" s="94"/>
      <c r="AG25" s="93" t="s">
        <v>262</v>
      </c>
      <c r="AH25" s="93"/>
      <c r="AI25" s="87" t="s">
        <v>246</v>
      </c>
      <c r="AJ25" s="93"/>
      <c r="AK25" s="94"/>
      <c r="AL25" s="93" t="s">
        <v>290</v>
      </c>
      <c r="AM25" s="88"/>
      <c r="AN25" s="91" t="s">
        <v>255</v>
      </c>
      <c r="AO25" s="88"/>
      <c r="AP25" s="91" t="s">
        <v>256</v>
      </c>
      <c r="AQ25" s="88"/>
      <c r="AR25" s="93" t="s">
        <v>258</v>
      </c>
      <c r="AS25" s="94"/>
    </row>
    <row r="26" spans="2:45" x14ac:dyDescent="0.4">
      <c r="B26" s="3" t="s">
        <v>106</v>
      </c>
      <c r="C26" s="67" t="s">
        <v>107</v>
      </c>
      <c r="D26" s="16">
        <v>3</v>
      </c>
      <c r="E26" s="3" t="s">
        <v>207</v>
      </c>
      <c r="F26" s="4" t="s">
        <v>188</v>
      </c>
      <c r="G26" s="16">
        <v>3</v>
      </c>
      <c r="R26" s="15">
        <v>3</v>
      </c>
      <c r="S26" s="3" t="s">
        <v>174</v>
      </c>
      <c r="T26" s="4" t="s">
        <v>159</v>
      </c>
      <c r="U26" s="15">
        <v>3</v>
      </c>
      <c r="V26" s="3" t="s">
        <v>63</v>
      </c>
      <c r="W26" s="4" t="s">
        <v>129</v>
      </c>
      <c r="AE26" s="87" t="s">
        <v>241</v>
      </c>
      <c r="AF26" s="94"/>
      <c r="AG26" s="93" t="s">
        <v>264</v>
      </c>
      <c r="AH26" s="93"/>
      <c r="AI26" s="87" t="s">
        <v>247</v>
      </c>
      <c r="AJ26" s="93"/>
      <c r="AK26" s="94"/>
      <c r="AL26" s="93" t="s">
        <v>249</v>
      </c>
      <c r="AM26" s="88"/>
      <c r="AN26" s="91" t="s">
        <v>257</v>
      </c>
      <c r="AO26" s="93"/>
      <c r="AP26" s="88"/>
      <c r="AQ26" s="146"/>
      <c r="AR26" s="125"/>
      <c r="AS26" s="124"/>
    </row>
    <row r="27" spans="2:45" ht="18" thickBot="1" x14ac:dyDescent="0.45">
      <c r="B27" s="3" t="s">
        <v>108</v>
      </c>
      <c r="C27" s="68" t="s">
        <v>24</v>
      </c>
      <c r="D27" s="16">
        <v>4</v>
      </c>
      <c r="E27" s="73" t="s">
        <v>205</v>
      </c>
      <c r="F27" s="4" t="s">
        <v>189</v>
      </c>
      <c r="G27" s="16">
        <v>4</v>
      </c>
      <c r="R27" s="15">
        <v>4</v>
      </c>
      <c r="S27" s="3" t="s">
        <v>175</v>
      </c>
      <c r="T27" s="4" t="s">
        <v>151</v>
      </c>
      <c r="U27" s="15">
        <v>4</v>
      </c>
      <c r="V27" s="3" t="s">
        <v>65</v>
      </c>
      <c r="W27" s="4" t="s">
        <v>130</v>
      </c>
      <c r="AE27" s="89" t="s">
        <v>241</v>
      </c>
      <c r="AF27" s="96"/>
      <c r="AG27" s="95" t="s">
        <v>244</v>
      </c>
      <c r="AH27" s="95"/>
      <c r="AI27" s="89" t="s">
        <v>248</v>
      </c>
      <c r="AJ27" s="95"/>
      <c r="AK27" s="96"/>
      <c r="AL27" s="95" t="s">
        <v>250</v>
      </c>
      <c r="AM27" s="90"/>
      <c r="AN27" s="92" t="s">
        <v>257</v>
      </c>
      <c r="AO27" s="95"/>
      <c r="AP27" s="90"/>
      <c r="AQ27" s="147"/>
      <c r="AR27" s="85"/>
      <c r="AS27" s="86"/>
    </row>
    <row r="28" spans="2:45" ht="18" thickBot="1" x14ac:dyDescent="0.45">
      <c r="B28" s="3" t="s">
        <v>109</v>
      </c>
      <c r="C28" s="4" t="s">
        <v>110</v>
      </c>
      <c r="D28" s="16">
        <v>5</v>
      </c>
      <c r="E28" s="9" t="s">
        <v>152</v>
      </c>
      <c r="F28" s="4" t="s">
        <v>190</v>
      </c>
      <c r="G28" s="16">
        <v>5</v>
      </c>
      <c r="R28" s="15">
        <v>5</v>
      </c>
      <c r="S28" s="19" t="s">
        <v>176</v>
      </c>
      <c r="T28" s="18" t="s">
        <v>160</v>
      </c>
      <c r="U28" s="15">
        <v>5</v>
      </c>
      <c r="V28" s="3" t="s">
        <v>24</v>
      </c>
      <c r="W28" s="4" t="s">
        <v>131</v>
      </c>
    </row>
    <row r="29" spans="2:45" ht="18" thickBot="1" x14ac:dyDescent="0.45">
      <c r="B29" s="3" t="s">
        <v>57</v>
      </c>
      <c r="C29" s="4" t="s">
        <v>22</v>
      </c>
      <c r="D29" s="16">
        <v>6</v>
      </c>
      <c r="E29" s="9" t="s">
        <v>151</v>
      </c>
      <c r="F29" s="4" t="s">
        <v>191</v>
      </c>
      <c r="G29" s="16">
        <v>6</v>
      </c>
      <c r="R29" s="15">
        <v>6</v>
      </c>
      <c r="S29" s="19" t="s">
        <v>156</v>
      </c>
      <c r="T29" s="18" t="s">
        <v>8</v>
      </c>
      <c r="U29" s="15">
        <v>6</v>
      </c>
      <c r="V29" s="3" t="s">
        <v>68</v>
      </c>
      <c r="W29" s="4" t="s">
        <v>132</v>
      </c>
      <c r="AA29" s="30"/>
      <c r="AB29" s="137" t="s">
        <v>224</v>
      </c>
      <c r="AC29" s="118"/>
      <c r="AD29" s="119"/>
      <c r="AE29" s="114" t="s">
        <v>234</v>
      </c>
      <c r="AF29" s="115"/>
      <c r="AG29" s="114" t="s">
        <v>235</v>
      </c>
      <c r="AH29" s="115"/>
      <c r="AI29" s="114" t="s">
        <v>236</v>
      </c>
      <c r="AJ29" s="116"/>
      <c r="AK29" s="115"/>
      <c r="AL29" s="116" t="s">
        <v>237</v>
      </c>
      <c r="AM29" s="116"/>
      <c r="AN29" s="116"/>
      <c r="AO29" s="116"/>
      <c r="AP29" s="116"/>
      <c r="AQ29" s="116"/>
      <c r="AR29" s="116"/>
      <c r="AS29" s="115"/>
    </row>
    <row r="30" spans="2:45" x14ac:dyDescent="0.4">
      <c r="B30" s="3" t="s">
        <v>111</v>
      </c>
      <c r="C30" s="4" t="s">
        <v>23</v>
      </c>
      <c r="D30" s="16">
        <v>7</v>
      </c>
      <c r="E30" s="73" t="s">
        <v>151</v>
      </c>
      <c r="F30" s="4" t="s">
        <v>192</v>
      </c>
      <c r="G30" s="16">
        <v>7</v>
      </c>
      <c r="R30" s="15">
        <v>7</v>
      </c>
      <c r="S30" s="21" t="s">
        <v>21</v>
      </c>
      <c r="T30" s="4" t="s">
        <v>9</v>
      </c>
      <c r="U30" s="15">
        <v>7</v>
      </c>
      <c r="V30" s="3" t="s">
        <v>70</v>
      </c>
      <c r="W30" s="4" t="s">
        <v>133</v>
      </c>
      <c r="AB30" s="65"/>
      <c r="AC30" s="66"/>
      <c r="AD30" s="66"/>
      <c r="AE30" s="101" t="s">
        <v>259</v>
      </c>
      <c r="AF30" s="104"/>
      <c r="AG30" s="101" t="s">
        <v>261</v>
      </c>
      <c r="AH30" s="105"/>
      <c r="AI30" s="101" t="s">
        <v>245</v>
      </c>
      <c r="AJ30" s="104"/>
      <c r="AK30" s="105"/>
      <c r="AL30" s="104" t="s">
        <v>251</v>
      </c>
      <c r="AM30" s="102"/>
      <c r="AN30" s="103" t="s">
        <v>252</v>
      </c>
      <c r="AO30" s="102"/>
      <c r="AP30" s="142"/>
      <c r="AQ30" s="108"/>
      <c r="AR30" s="108"/>
      <c r="AS30" s="109"/>
    </row>
    <row r="31" spans="2:45" ht="18" thickBot="1" x14ac:dyDescent="0.45">
      <c r="B31" s="3" t="s">
        <v>112</v>
      </c>
      <c r="C31" s="4" t="s">
        <v>205</v>
      </c>
      <c r="D31" s="16">
        <v>8</v>
      </c>
      <c r="E31" s="5" t="s">
        <v>206</v>
      </c>
      <c r="F31" s="6" t="s">
        <v>193</v>
      </c>
      <c r="G31" s="16">
        <v>8</v>
      </c>
      <c r="R31" s="15">
        <v>8</v>
      </c>
      <c r="S31" s="19" t="s">
        <v>177</v>
      </c>
      <c r="T31" s="12" t="s">
        <v>3</v>
      </c>
      <c r="U31" s="15">
        <v>8</v>
      </c>
      <c r="V31" s="3" t="s">
        <v>31</v>
      </c>
      <c r="W31" s="4" t="s">
        <v>66</v>
      </c>
      <c r="AE31" s="87" t="s">
        <v>259</v>
      </c>
      <c r="AF31" s="93"/>
      <c r="AG31" s="87" t="s">
        <v>262</v>
      </c>
      <c r="AH31" s="94"/>
      <c r="AI31" s="87" t="s">
        <v>245</v>
      </c>
      <c r="AJ31" s="93"/>
      <c r="AK31" s="94"/>
      <c r="AL31" s="93" t="s">
        <v>253</v>
      </c>
      <c r="AM31" s="88"/>
      <c r="AN31" s="91" t="s">
        <v>254</v>
      </c>
      <c r="AO31" s="88"/>
      <c r="AP31" s="143"/>
      <c r="AQ31" s="144"/>
      <c r="AR31" s="144"/>
      <c r="AS31" s="145"/>
    </row>
    <row r="32" spans="2:45" x14ac:dyDescent="0.4">
      <c r="B32" s="3" t="s">
        <v>67</v>
      </c>
      <c r="C32" s="4" t="s">
        <v>152</v>
      </c>
      <c r="D32" s="16">
        <v>9</v>
      </c>
      <c r="E32" s="7"/>
      <c r="F32" s="7"/>
      <c r="G32" s="16"/>
      <c r="R32" s="15">
        <v>9</v>
      </c>
      <c r="S32" s="3" t="s">
        <v>1</v>
      </c>
      <c r="T32" s="12" t="s">
        <v>0</v>
      </c>
      <c r="U32" s="15">
        <v>9</v>
      </c>
      <c r="V32" s="3" t="s">
        <v>88</v>
      </c>
      <c r="W32" s="4" t="s">
        <v>105</v>
      </c>
      <c r="AE32" s="87" t="s">
        <v>240</v>
      </c>
      <c r="AF32" s="93"/>
      <c r="AG32" s="87" t="s">
        <v>263</v>
      </c>
      <c r="AH32" s="94"/>
      <c r="AI32" s="87" t="s">
        <v>266</v>
      </c>
      <c r="AJ32" s="93"/>
      <c r="AK32" s="94"/>
      <c r="AL32" s="93" t="s">
        <v>290</v>
      </c>
      <c r="AM32" s="88"/>
      <c r="AN32" s="91" t="s">
        <v>255</v>
      </c>
      <c r="AO32" s="88"/>
      <c r="AP32" s="91" t="s">
        <v>256</v>
      </c>
      <c r="AQ32" s="88"/>
      <c r="AR32" s="93" t="s">
        <v>258</v>
      </c>
      <c r="AS32" s="94"/>
    </row>
    <row r="33" spans="2:45" ht="18" thickBot="1" x14ac:dyDescent="0.45">
      <c r="B33" s="3" t="s">
        <v>24</v>
      </c>
      <c r="C33" s="4" t="s">
        <v>24</v>
      </c>
      <c r="D33" s="16">
        <v>10</v>
      </c>
      <c r="E33" s="7"/>
      <c r="F33" s="7"/>
      <c r="G33" s="16"/>
      <c r="R33" s="15">
        <v>10</v>
      </c>
      <c r="S33" s="22" t="s">
        <v>7</v>
      </c>
      <c r="T33" s="6" t="s">
        <v>4</v>
      </c>
      <c r="U33" s="15">
        <v>10</v>
      </c>
      <c r="V33" s="3" t="s">
        <v>69</v>
      </c>
      <c r="W33" s="4" t="s">
        <v>24</v>
      </c>
      <c r="AE33" s="87" t="s">
        <v>259</v>
      </c>
      <c r="AF33" s="93"/>
      <c r="AG33" s="87" t="s">
        <v>243</v>
      </c>
      <c r="AH33" s="94"/>
      <c r="AI33" s="87" t="s">
        <v>267</v>
      </c>
      <c r="AJ33" s="93"/>
      <c r="AK33" s="94"/>
      <c r="AL33" s="93" t="s">
        <v>249</v>
      </c>
      <c r="AM33" s="88"/>
      <c r="AN33" s="91" t="s">
        <v>257</v>
      </c>
      <c r="AO33" s="93"/>
      <c r="AP33" s="88"/>
      <c r="AQ33" s="146"/>
      <c r="AR33" s="125"/>
      <c r="AS33" s="124"/>
    </row>
    <row r="34" spans="2:45" ht="18" thickBot="1" x14ac:dyDescent="0.45">
      <c r="B34" s="3" t="s">
        <v>220</v>
      </c>
      <c r="C34" s="4" t="s">
        <v>151</v>
      </c>
      <c r="D34" s="16">
        <v>11</v>
      </c>
      <c r="E34" s="126" t="s">
        <v>216</v>
      </c>
      <c r="F34" s="127"/>
      <c r="G34" s="16"/>
      <c r="R34" s="15"/>
      <c r="S34" s="7"/>
      <c r="T34" s="7"/>
      <c r="U34" s="15">
        <v>11</v>
      </c>
      <c r="V34" s="3" t="s">
        <v>134</v>
      </c>
      <c r="W34" s="4" t="s">
        <v>90</v>
      </c>
      <c r="AE34" s="89" t="s">
        <v>260</v>
      </c>
      <c r="AF34" s="95"/>
      <c r="AG34" s="89" t="s">
        <v>265</v>
      </c>
      <c r="AH34" s="96"/>
      <c r="AI34" s="89" t="s">
        <v>268</v>
      </c>
      <c r="AJ34" s="95"/>
      <c r="AK34" s="96"/>
      <c r="AL34" s="95" t="s">
        <v>250</v>
      </c>
      <c r="AM34" s="90"/>
      <c r="AN34" s="92" t="s">
        <v>257</v>
      </c>
      <c r="AO34" s="95"/>
      <c r="AP34" s="90"/>
      <c r="AQ34" s="147"/>
      <c r="AR34" s="85"/>
      <c r="AS34" s="86"/>
    </row>
    <row r="35" spans="2:45" ht="18" thickBot="1" x14ac:dyDescent="0.45">
      <c r="B35" s="3" t="s">
        <v>113</v>
      </c>
      <c r="C35" s="4" t="s">
        <v>114</v>
      </c>
      <c r="D35" s="16">
        <v>12</v>
      </c>
      <c r="E35" s="3" t="s">
        <v>2</v>
      </c>
      <c r="F35" s="4" t="s">
        <v>194</v>
      </c>
      <c r="G35" s="16">
        <v>1</v>
      </c>
      <c r="R35" s="15"/>
      <c r="S35" s="7"/>
      <c r="T35" s="7"/>
      <c r="U35" s="15">
        <v>12</v>
      </c>
      <c r="V35" s="3" t="s">
        <v>135</v>
      </c>
      <c r="W35" s="4" t="s">
        <v>82</v>
      </c>
    </row>
    <row r="36" spans="2:45" ht="18" thickBot="1" x14ac:dyDescent="0.45">
      <c r="B36" s="3" t="s">
        <v>115</v>
      </c>
      <c r="C36" s="4" t="s">
        <v>110</v>
      </c>
      <c r="D36" s="16">
        <v>13</v>
      </c>
      <c r="E36" s="3" t="s">
        <v>208</v>
      </c>
      <c r="F36" s="8" t="s">
        <v>10</v>
      </c>
      <c r="G36" s="16">
        <v>2</v>
      </c>
      <c r="R36" s="15"/>
      <c r="S36" s="126" t="s">
        <v>218</v>
      </c>
      <c r="T36" s="127"/>
      <c r="U36" s="15">
        <v>13</v>
      </c>
      <c r="V36" s="3" t="s">
        <v>103</v>
      </c>
      <c r="W36" s="4" t="s">
        <v>62</v>
      </c>
      <c r="AA36" s="31" t="s">
        <v>269</v>
      </c>
      <c r="AB36" s="117" t="s">
        <v>227</v>
      </c>
      <c r="AC36" s="118"/>
      <c r="AD36" s="119"/>
      <c r="AE36" s="114" t="s">
        <v>234</v>
      </c>
      <c r="AF36" s="115"/>
      <c r="AG36" s="114" t="s">
        <v>235</v>
      </c>
      <c r="AH36" s="115"/>
      <c r="AI36" s="114" t="s">
        <v>236</v>
      </c>
      <c r="AJ36" s="116"/>
      <c r="AK36" s="115"/>
      <c r="AL36" s="110" t="s">
        <v>237</v>
      </c>
      <c r="AM36" s="116"/>
      <c r="AN36" s="116"/>
      <c r="AO36" s="116"/>
      <c r="AP36" s="116"/>
      <c r="AQ36" s="116"/>
      <c r="AR36" s="116"/>
      <c r="AS36" s="115"/>
    </row>
    <row r="37" spans="2:45" x14ac:dyDescent="0.4">
      <c r="B37" s="3" t="s">
        <v>116</v>
      </c>
      <c r="C37" s="4" t="s">
        <v>100</v>
      </c>
      <c r="D37" s="16">
        <v>14</v>
      </c>
      <c r="E37" s="3" t="s">
        <v>209</v>
      </c>
      <c r="F37" s="8" t="s">
        <v>11</v>
      </c>
      <c r="G37" s="16">
        <v>3</v>
      </c>
      <c r="R37" s="15">
        <v>1</v>
      </c>
      <c r="S37" s="3" t="s">
        <v>159</v>
      </c>
      <c r="T37" s="4" t="s">
        <v>161</v>
      </c>
      <c r="U37" s="15">
        <v>14</v>
      </c>
      <c r="V37" s="3" t="s">
        <v>76</v>
      </c>
      <c r="W37" s="4" t="s">
        <v>136</v>
      </c>
      <c r="AB37" s="65"/>
      <c r="AC37" s="66"/>
      <c r="AD37" s="66"/>
      <c r="AE37" s="101" t="s">
        <v>241</v>
      </c>
      <c r="AF37" s="104"/>
      <c r="AG37" s="101" t="s">
        <v>242</v>
      </c>
      <c r="AH37" s="105"/>
      <c r="AI37" s="101" t="s">
        <v>245</v>
      </c>
      <c r="AJ37" s="104"/>
      <c r="AK37" s="105"/>
      <c r="AL37" s="108" t="s">
        <v>275</v>
      </c>
      <c r="AM37" s="148"/>
      <c r="AN37" s="142" t="s">
        <v>277</v>
      </c>
      <c r="AO37" s="148"/>
      <c r="AP37" s="142" t="s">
        <v>278</v>
      </c>
      <c r="AQ37" s="148"/>
      <c r="AR37" s="142" t="s">
        <v>279</v>
      </c>
      <c r="AS37" s="109"/>
    </row>
    <row r="38" spans="2:45" x14ac:dyDescent="0.4">
      <c r="B38" s="3" t="s">
        <v>117</v>
      </c>
      <c r="C38" s="4" t="s">
        <v>118</v>
      </c>
      <c r="D38" s="16">
        <v>15</v>
      </c>
      <c r="E38" s="3" t="s">
        <v>210</v>
      </c>
      <c r="F38" s="71" t="s">
        <v>195</v>
      </c>
      <c r="G38" s="16">
        <v>4</v>
      </c>
      <c r="R38" s="15">
        <v>2</v>
      </c>
      <c r="S38" s="3" t="s">
        <v>178</v>
      </c>
      <c r="T38" s="12" t="s">
        <v>15</v>
      </c>
      <c r="U38" s="15">
        <v>15</v>
      </c>
      <c r="V38" s="3" t="s">
        <v>71</v>
      </c>
      <c r="W38" s="4" t="s">
        <v>64</v>
      </c>
      <c r="AE38" s="87" t="s">
        <v>241</v>
      </c>
      <c r="AF38" s="93"/>
      <c r="AG38" s="87" t="s">
        <v>243</v>
      </c>
      <c r="AH38" s="94"/>
      <c r="AI38" s="87" t="s">
        <v>245</v>
      </c>
      <c r="AJ38" s="93"/>
      <c r="AK38" s="94"/>
      <c r="AL38" s="144" t="s">
        <v>276</v>
      </c>
      <c r="AM38" s="149"/>
      <c r="AN38" s="143" t="s">
        <v>154</v>
      </c>
      <c r="AO38" s="149"/>
      <c r="AP38" s="143" t="s">
        <v>155</v>
      </c>
      <c r="AQ38" s="149"/>
      <c r="AR38" s="143" t="s">
        <v>280</v>
      </c>
      <c r="AS38" s="145"/>
    </row>
    <row r="39" spans="2:45" x14ac:dyDescent="0.4">
      <c r="B39" s="3" t="s">
        <v>119</v>
      </c>
      <c r="C39" s="4" t="s">
        <v>74</v>
      </c>
      <c r="D39" s="16">
        <v>16</v>
      </c>
      <c r="E39" s="3" t="s">
        <v>211</v>
      </c>
      <c r="F39" s="4" t="s">
        <v>196</v>
      </c>
      <c r="G39" s="16">
        <v>5</v>
      </c>
      <c r="R39" s="15">
        <v>3</v>
      </c>
      <c r="S39" s="3" t="s">
        <v>151</v>
      </c>
      <c r="T39" s="12" t="s">
        <v>16</v>
      </c>
      <c r="U39" s="15">
        <v>16</v>
      </c>
      <c r="V39" s="3" t="s">
        <v>72</v>
      </c>
      <c r="W39" s="4" t="s">
        <v>79</v>
      </c>
      <c r="AE39" s="87" t="s">
        <v>240</v>
      </c>
      <c r="AF39" s="93"/>
      <c r="AG39" s="87" t="s">
        <v>270</v>
      </c>
      <c r="AH39" s="94"/>
      <c r="AI39" s="87" t="s">
        <v>272</v>
      </c>
      <c r="AJ39" s="93"/>
      <c r="AK39" s="94"/>
      <c r="AL39" s="144" t="s">
        <v>290</v>
      </c>
      <c r="AM39" s="149"/>
      <c r="AN39" s="143" t="s">
        <v>255</v>
      </c>
      <c r="AO39" s="149"/>
      <c r="AP39" s="143" t="s">
        <v>256</v>
      </c>
      <c r="AQ39" s="149"/>
      <c r="AR39" s="144" t="s">
        <v>258</v>
      </c>
      <c r="AS39" s="145"/>
    </row>
    <row r="40" spans="2:45" x14ac:dyDescent="0.4">
      <c r="B40" s="3" t="s">
        <v>120</v>
      </c>
      <c r="C40" s="4" t="s">
        <v>102</v>
      </c>
      <c r="D40" s="16">
        <v>17</v>
      </c>
      <c r="E40" s="3" t="s">
        <v>212</v>
      </c>
      <c r="F40" s="4" t="s">
        <v>151</v>
      </c>
      <c r="G40" s="16">
        <v>6</v>
      </c>
      <c r="R40" s="15">
        <v>4</v>
      </c>
      <c r="S40" s="3" t="s">
        <v>179</v>
      </c>
      <c r="T40" s="4" t="s">
        <v>162</v>
      </c>
      <c r="U40" s="15">
        <v>17</v>
      </c>
      <c r="V40" s="3" t="s">
        <v>153</v>
      </c>
      <c r="W40" s="4" t="s">
        <v>137</v>
      </c>
      <c r="AE40" s="87" t="s">
        <v>260</v>
      </c>
      <c r="AF40" s="93"/>
      <c r="AG40" s="87" t="s">
        <v>271</v>
      </c>
      <c r="AH40" s="94"/>
      <c r="AI40" s="87" t="s">
        <v>273</v>
      </c>
      <c r="AJ40" s="93"/>
      <c r="AK40" s="94"/>
      <c r="AL40" s="93" t="s">
        <v>249</v>
      </c>
      <c r="AM40" s="88"/>
      <c r="AN40" s="146" t="s">
        <v>257</v>
      </c>
      <c r="AO40" s="125"/>
      <c r="AP40" s="150"/>
      <c r="AQ40" s="146"/>
      <c r="AR40" s="125"/>
      <c r="AS40" s="124"/>
    </row>
    <row r="41" spans="2:45" ht="18" thickBot="1" x14ac:dyDescent="0.45">
      <c r="B41" s="3" t="s">
        <v>84</v>
      </c>
      <c r="C41" s="4" t="s">
        <v>121</v>
      </c>
      <c r="D41" s="16">
        <v>18</v>
      </c>
      <c r="E41" s="3" t="s">
        <v>203</v>
      </c>
      <c r="F41" s="25" t="s">
        <v>148</v>
      </c>
      <c r="G41" s="16">
        <v>7</v>
      </c>
      <c r="R41" s="15">
        <v>5</v>
      </c>
      <c r="S41" s="3" t="s">
        <v>180</v>
      </c>
      <c r="T41" s="4" t="s">
        <v>163</v>
      </c>
      <c r="U41" s="15">
        <v>18</v>
      </c>
      <c r="V41" s="3" t="s">
        <v>138</v>
      </c>
      <c r="W41" s="4" t="s">
        <v>29</v>
      </c>
      <c r="AE41" s="89" t="s">
        <v>260</v>
      </c>
      <c r="AF41" s="95"/>
      <c r="AG41" s="89" t="s">
        <v>261</v>
      </c>
      <c r="AH41" s="96"/>
      <c r="AI41" s="89" t="s">
        <v>274</v>
      </c>
      <c r="AJ41" s="95"/>
      <c r="AK41" s="96"/>
      <c r="AL41" s="95" t="s">
        <v>250</v>
      </c>
      <c r="AM41" s="90"/>
      <c r="AN41" s="147"/>
      <c r="AO41" s="85"/>
      <c r="AP41" s="151"/>
      <c r="AQ41" s="147"/>
      <c r="AR41" s="85"/>
      <c r="AS41" s="86"/>
    </row>
    <row r="42" spans="2:45" ht="18" thickBot="1" x14ac:dyDescent="0.45">
      <c r="B42" s="3" t="s">
        <v>27</v>
      </c>
      <c r="C42" s="4" t="s">
        <v>26</v>
      </c>
      <c r="D42" s="16">
        <v>19</v>
      </c>
      <c r="E42" s="3" t="s">
        <v>9</v>
      </c>
      <c r="F42" s="25" t="s">
        <v>147</v>
      </c>
      <c r="G42" s="16">
        <v>8</v>
      </c>
      <c r="R42" s="15">
        <v>6</v>
      </c>
      <c r="S42" s="3" t="s">
        <v>181</v>
      </c>
      <c r="T42" s="4" t="s">
        <v>164</v>
      </c>
      <c r="U42" s="15">
        <v>19</v>
      </c>
      <c r="V42" s="3" t="s">
        <v>25</v>
      </c>
      <c r="W42" s="4" t="s">
        <v>86</v>
      </c>
    </row>
    <row r="43" spans="2:45" ht="18" thickBot="1" x14ac:dyDescent="0.45">
      <c r="B43" s="3" t="s">
        <v>49</v>
      </c>
      <c r="C43" s="4" t="s">
        <v>50</v>
      </c>
      <c r="D43" s="16">
        <v>20</v>
      </c>
      <c r="E43" s="3" t="s">
        <v>213</v>
      </c>
      <c r="F43" s="25" t="s">
        <v>146</v>
      </c>
      <c r="G43" s="16">
        <v>9</v>
      </c>
      <c r="R43" s="15">
        <v>7</v>
      </c>
      <c r="S43" s="3" t="s">
        <v>182</v>
      </c>
      <c r="T43" s="62" t="s">
        <v>165</v>
      </c>
      <c r="U43" s="15">
        <v>20</v>
      </c>
      <c r="V43" s="3" t="s">
        <v>24</v>
      </c>
      <c r="W43" s="4" t="s">
        <v>92</v>
      </c>
      <c r="AA43" s="33" t="s">
        <v>269</v>
      </c>
      <c r="AB43" s="117" t="s">
        <v>226</v>
      </c>
      <c r="AC43" s="118"/>
      <c r="AD43" s="119"/>
      <c r="AE43" s="114" t="s">
        <v>234</v>
      </c>
      <c r="AF43" s="115"/>
      <c r="AG43" s="114" t="s">
        <v>235</v>
      </c>
      <c r="AH43" s="115"/>
      <c r="AI43" s="114" t="s">
        <v>236</v>
      </c>
      <c r="AJ43" s="116"/>
      <c r="AK43" s="115"/>
      <c r="AL43" s="110" t="s">
        <v>237</v>
      </c>
      <c r="AM43" s="116"/>
      <c r="AN43" s="116"/>
      <c r="AO43" s="116"/>
      <c r="AP43" s="116"/>
      <c r="AQ43" s="116"/>
      <c r="AR43" s="116"/>
      <c r="AS43" s="115"/>
    </row>
    <row r="44" spans="2:45" x14ac:dyDescent="0.4">
      <c r="B44" s="3" t="s">
        <v>48</v>
      </c>
      <c r="C44" s="4" t="s">
        <v>44</v>
      </c>
      <c r="D44" s="16">
        <v>21</v>
      </c>
      <c r="E44" s="3" t="s">
        <v>150</v>
      </c>
      <c r="F44" s="4" t="s">
        <v>197</v>
      </c>
      <c r="G44" s="16">
        <v>10</v>
      </c>
      <c r="R44" s="15">
        <v>8</v>
      </c>
      <c r="S44" s="3" t="s">
        <v>183</v>
      </c>
      <c r="T44" s="62" t="s">
        <v>166</v>
      </c>
      <c r="U44" s="15">
        <v>21</v>
      </c>
      <c r="V44" s="3" t="s">
        <v>93</v>
      </c>
      <c r="W44" s="4" t="s">
        <v>30</v>
      </c>
      <c r="AB44" s="65"/>
      <c r="AC44" s="66"/>
      <c r="AD44" s="66"/>
      <c r="AE44" s="101" t="s">
        <v>241</v>
      </c>
      <c r="AF44" s="104"/>
      <c r="AG44" s="101" t="s">
        <v>263</v>
      </c>
      <c r="AH44" s="105"/>
      <c r="AI44" s="101" t="s">
        <v>245</v>
      </c>
      <c r="AJ44" s="104"/>
      <c r="AK44" s="105"/>
      <c r="AL44" s="108" t="s">
        <v>275</v>
      </c>
      <c r="AM44" s="148"/>
      <c r="AN44" s="142" t="s">
        <v>277</v>
      </c>
      <c r="AO44" s="148"/>
      <c r="AP44" s="142" t="s">
        <v>278</v>
      </c>
      <c r="AQ44" s="148"/>
      <c r="AR44" s="142" t="s">
        <v>279</v>
      </c>
      <c r="AS44" s="109"/>
    </row>
    <row r="45" spans="2:45" ht="18" thickBot="1" x14ac:dyDescent="0.45">
      <c r="B45" s="3" t="s">
        <v>47</v>
      </c>
      <c r="C45" s="4" t="s">
        <v>45</v>
      </c>
      <c r="D45" s="16">
        <v>22</v>
      </c>
      <c r="E45" s="3" t="s">
        <v>149</v>
      </c>
      <c r="F45" s="4" t="s">
        <v>198</v>
      </c>
      <c r="G45" s="16">
        <v>11</v>
      </c>
      <c r="R45" s="15">
        <v>9</v>
      </c>
      <c r="S45" s="3" t="s">
        <v>151</v>
      </c>
      <c r="T45" s="23" t="s">
        <v>167</v>
      </c>
      <c r="U45" s="15">
        <v>22</v>
      </c>
      <c r="V45" s="3" t="s">
        <v>95</v>
      </c>
      <c r="W45" s="4" t="s">
        <v>94</v>
      </c>
      <c r="AE45" s="87" t="s">
        <v>241</v>
      </c>
      <c r="AF45" s="93"/>
      <c r="AG45" s="87" t="s">
        <v>270</v>
      </c>
      <c r="AH45" s="94"/>
      <c r="AI45" s="87" t="s">
        <v>245</v>
      </c>
      <c r="AJ45" s="93"/>
      <c r="AK45" s="94"/>
      <c r="AL45" s="144" t="s">
        <v>276</v>
      </c>
      <c r="AM45" s="149"/>
      <c r="AN45" s="143" t="s">
        <v>154</v>
      </c>
      <c r="AO45" s="149"/>
      <c r="AP45" s="143" t="s">
        <v>155</v>
      </c>
      <c r="AQ45" s="149"/>
      <c r="AR45" s="143" t="s">
        <v>280</v>
      </c>
      <c r="AS45" s="145"/>
    </row>
    <row r="46" spans="2:45" ht="18" thickBot="1" x14ac:dyDescent="0.45">
      <c r="B46" s="3" t="s">
        <v>46</v>
      </c>
      <c r="C46" s="4" t="s">
        <v>51</v>
      </c>
      <c r="D46" s="16">
        <v>23</v>
      </c>
      <c r="E46" s="74" t="s">
        <v>151</v>
      </c>
      <c r="F46" s="4" t="s">
        <v>199</v>
      </c>
      <c r="G46" s="16">
        <v>12</v>
      </c>
      <c r="R46" s="15">
        <v>10</v>
      </c>
      <c r="S46" s="24" t="s">
        <v>20</v>
      </c>
      <c r="T46" s="23" t="s">
        <v>168</v>
      </c>
      <c r="U46" s="15">
        <v>23</v>
      </c>
      <c r="V46" s="3" t="s">
        <v>96</v>
      </c>
      <c r="W46" s="4" t="s">
        <v>73</v>
      </c>
      <c r="AE46" s="87" t="s">
        <v>240</v>
      </c>
      <c r="AF46" s="93"/>
      <c r="AG46" s="87" t="s">
        <v>264</v>
      </c>
      <c r="AH46" s="94"/>
      <c r="AI46" s="87" t="s">
        <v>283</v>
      </c>
      <c r="AJ46" s="93"/>
      <c r="AK46" s="94"/>
      <c r="AL46" s="144" t="s">
        <v>290</v>
      </c>
      <c r="AM46" s="149"/>
      <c r="AN46" s="143" t="s">
        <v>255</v>
      </c>
      <c r="AO46" s="149"/>
      <c r="AP46" s="143" t="s">
        <v>256</v>
      </c>
      <c r="AQ46" s="149"/>
      <c r="AR46" s="144" t="s">
        <v>258</v>
      </c>
      <c r="AS46" s="145"/>
    </row>
    <row r="47" spans="2:45" x14ac:dyDescent="0.4">
      <c r="B47" s="3" t="s">
        <v>55</v>
      </c>
      <c r="C47" s="4" t="s">
        <v>52</v>
      </c>
      <c r="D47" s="16">
        <v>24</v>
      </c>
      <c r="E47" s="3" t="s">
        <v>5</v>
      </c>
      <c r="F47" s="4" t="s">
        <v>200</v>
      </c>
      <c r="G47" s="16">
        <v>13</v>
      </c>
      <c r="R47" s="15">
        <v>11</v>
      </c>
      <c r="S47" s="24" t="s">
        <v>19</v>
      </c>
      <c r="T47" s="4" t="s">
        <v>151</v>
      </c>
      <c r="U47" s="15">
        <v>24</v>
      </c>
      <c r="V47" s="3" t="s">
        <v>97</v>
      </c>
      <c r="W47" s="4" t="s">
        <v>75</v>
      </c>
      <c r="AE47" s="87" t="s">
        <v>239</v>
      </c>
      <c r="AF47" s="93"/>
      <c r="AG47" s="87" t="s">
        <v>281</v>
      </c>
      <c r="AH47" s="94"/>
      <c r="AI47" s="87" t="s">
        <v>284</v>
      </c>
      <c r="AJ47" s="93"/>
      <c r="AK47" s="94"/>
      <c r="AL47" s="93" t="s">
        <v>249</v>
      </c>
      <c r="AM47" s="88"/>
      <c r="AN47" s="146" t="s">
        <v>257</v>
      </c>
      <c r="AO47" s="125"/>
      <c r="AP47" s="150"/>
      <c r="AQ47" s="146"/>
      <c r="AR47" s="125"/>
      <c r="AS47" s="124"/>
    </row>
    <row r="48" spans="2:45" ht="18" thickBot="1" x14ac:dyDescent="0.45">
      <c r="B48" s="3" t="s">
        <v>24</v>
      </c>
      <c r="C48" s="4" t="s">
        <v>53</v>
      </c>
      <c r="D48" s="16">
        <v>25</v>
      </c>
      <c r="E48" s="3" t="s">
        <v>6</v>
      </c>
      <c r="F48" s="4" t="s">
        <v>201</v>
      </c>
      <c r="G48" s="16">
        <v>14</v>
      </c>
      <c r="R48" s="15">
        <v>12</v>
      </c>
      <c r="S48" s="3" t="s">
        <v>184</v>
      </c>
      <c r="T48" s="4" t="s">
        <v>169</v>
      </c>
      <c r="U48" s="15">
        <v>25</v>
      </c>
      <c r="V48" s="3" t="s">
        <v>98</v>
      </c>
      <c r="W48" s="4" t="s">
        <v>83</v>
      </c>
      <c r="AE48" s="89" t="s">
        <v>239</v>
      </c>
      <c r="AF48" s="95"/>
      <c r="AG48" s="89" t="s">
        <v>282</v>
      </c>
      <c r="AH48" s="96"/>
      <c r="AI48" s="89" t="s">
        <v>285</v>
      </c>
      <c r="AJ48" s="95"/>
      <c r="AK48" s="96"/>
      <c r="AL48" s="95" t="s">
        <v>250</v>
      </c>
      <c r="AM48" s="90"/>
      <c r="AN48" s="147"/>
      <c r="AO48" s="85"/>
      <c r="AP48" s="151"/>
      <c r="AQ48" s="147"/>
      <c r="AR48" s="85"/>
      <c r="AS48" s="86"/>
    </row>
    <row r="49" spans="2:45" ht="18" thickBot="1" x14ac:dyDescent="0.45">
      <c r="B49" s="3" t="s">
        <v>33</v>
      </c>
      <c r="C49" s="4" t="s">
        <v>32</v>
      </c>
      <c r="D49" s="16">
        <v>26</v>
      </c>
      <c r="E49" s="5" t="s">
        <v>214</v>
      </c>
      <c r="F49" s="6" t="s">
        <v>202</v>
      </c>
      <c r="G49" s="16">
        <v>15</v>
      </c>
      <c r="R49" s="15">
        <v>13</v>
      </c>
      <c r="S49" s="3" t="s">
        <v>148</v>
      </c>
      <c r="T49" s="4" t="s">
        <v>170</v>
      </c>
      <c r="U49" s="15">
        <v>26</v>
      </c>
      <c r="V49" s="3" t="s">
        <v>99</v>
      </c>
      <c r="W49" s="4" t="s">
        <v>80</v>
      </c>
    </row>
    <row r="50" spans="2:45" ht="18" thickBot="1" x14ac:dyDescent="0.45">
      <c r="B50" s="3" t="s">
        <v>34</v>
      </c>
      <c r="C50" s="4" t="s">
        <v>56</v>
      </c>
      <c r="D50" s="16">
        <v>27</v>
      </c>
      <c r="R50" s="15">
        <v>14</v>
      </c>
      <c r="S50" s="3" t="s">
        <v>151</v>
      </c>
      <c r="T50" s="10" t="s">
        <v>171</v>
      </c>
      <c r="U50" s="15">
        <v>27</v>
      </c>
      <c r="V50" s="3" t="s">
        <v>101</v>
      </c>
      <c r="W50" s="4" t="s">
        <v>24</v>
      </c>
      <c r="AA50" s="32"/>
      <c r="AB50" s="117" t="s">
        <v>228</v>
      </c>
      <c r="AC50" s="118"/>
      <c r="AD50" s="119"/>
      <c r="AE50" s="114" t="s">
        <v>234</v>
      </c>
      <c r="AF50" s="115"/>
      <c r="AG50" s="114" t="s">
        <v>235</v>
      </c>
      <c r="AH50" s="115"/>
      <c r="AI50" s="114" t="s">
        <v>236</v>
      </c>
      <c r="AJ50" s="116"/>
      <c r="AK50" s="115"/>
      <c r="AL50" s="110" t="s">
        <v>237</v>
      </c>
      <c r="AM50" s="116"/>
      <c r="AN50" s="116"/>
      <c r="AO50" s="116"/>
      <c r="AP50" s="116"/>
      <c r="AQ50" s="116"/>
      <c r="AR50" s="116"/>
      <c r="AS50" s="115"/>
    </row>
    <row r="51" spans="2:45" x14ac:dyDescent="0.4">
      <c r="B51" s="3" t="s">
        <v>36</v>
      </c>
      <c r="C51" s="4" t="s">
        <v>58</v>
      </c>
      <c r="D51" s="16">
        <v>28</v>
      </c>
      <c r="R51" s="15">
        <v>15</v>
      </c>
      <c r="S51" s="3" t="s">
        <v>185</v>
      </c>
      <c r="T51" s="10" t="s">
        <v>172</v>
      </c>
      <c r="U51" s="15">
        <v>28</v>
      </c>
      <c r="V51" s="3" t="s">
        <v>85</v>
      </c>
      <c r="W51" s="4" t="s">
        <v>81</v>
      </c>
      <c r="AB51" s="65"/>
      <c r="AC51" s="66"/>
      <c r="AD51" s="66"/>
      <c r="AE51" s="101" t="s">
        <v>241</v>
      </c>
      <c r="AF51" s="105"/>
      <c r="AG51" s="104" t="s">
        <v>261</v>
      </c>
      <c r="AH51" s="104"/>
      <c r="AI51" s="101" t="s">
        <v>289</v>
      </c>
      <c r="AJ51" s="104"/>
      <c r="AK51" s="105"/>
      <c r="AL51" s="152" t="s">
        <v>290</v>
      </c>
      <c r="AM51" s="149"/>
      <c r="AN51" s="143" t="s">
        <v>291</v>
      </c>
      <c r="AO51" s="149"/>
      <c r="AP51" s="143" t="s">
        <v>292</v>
      </c>
      <c r="AQ51" s="149"/>
      <c r="AR51" s="144" t="s">
        <v>293</v>
      </c>
      <c r="AS51" s="145"/>
    </row>
    <row r="52" spans="2:45" x14ac:dyDescent="0.4">
      <c r="B52" s="3" t="s">
        <v>35</v>
      </c>
      <c r="C52" s="4" t="s">
        <v>59</v>
      </c>
      <c r="D52" s="16">
        <v>29</v>
      </c>
      <c r="R52" s="15">
        <v>16</v>
      </c>
      <c r="S52" s="3" t="s">
        <v>186</v>
      </c>
      <c r="T52" s="59" t="s">
        <v>17</v>
      </c>
      <c r="U52" s="15">
        <v>29</v>
      </c>
      <c r="V52" s="3" t="s">
        <v>78</v>
      </c>
      <c r="W52" s="4" t="s">
        <v>28</v>
      </c>
      <c r="AE52" s="87" t="s">
        <v>241</v>
      </c>
      <c r="AF52" s="94"/>
      <c r="AG52" s="93" t="s">
        <v>271</v>
      </c>
      <c r="AH52" s="93"/>
      <c r="AI52" s="87" t="s">
        <v>245</v>
      </c>
      <c r="AJ52" s="93"/>
      <c r="AK52" s="94"/>
      <c r="AL52" s="87" t="s">
        <v>253</v>
      </c>
      <c r="AM52" s="88"/>
      <c r="AN52" s="91" t="s">
        <v>254</v>
      </c>
      <c r="AO52" s="88"/>
      <c r="AP52" s="146"/>
      <c r="AQ52" s="125"/>
      <c r="AR52" s="125"/>
      <c r="AS52" s="124"/>
    </row>
    <row r="53" spans="2:45" ht="18" thickBot="1" x14ac:dyDescent="0.45">
      <c r="B53" s="3" t="s">
        <v>37</v>
      </c>
      <c r="C53" s="4" t="s">
        <v>24</v>
      </c>
      <c r="D53" s="16">
        <v>30</v>
      </c>
      <c r="R53" s="15">
        <v>17</v>
      </c>
      <c r="S53" s="5" t="s">
        <v>187</v>
      </c>
      <c r="T53" s="60" t="s">
        <v>18</v>
      </c>
      <c r="U53" s="15">
        <v>30</v>
      </c>
      <c r="V53" s="3" t="s">
        <v>77</v>
      </c>
      <c r="W53" s="4" t="s">
        <v>87</v>
      </c>
      <c r="AE53" s="89" t="s">
        <v>241</v>
      </c>
      <c r="AF53" s="96"/>
      <c r="AG53" s="95" t="s">
        <v>286</v>
      </c>
      <c r="AH53" s="95"/>
      <c r="AI53" s="89" t="s">
        <v>245</v>
      </c>
      <c r="AJ53" s="95"/>
      <c r="AK53" s="96"/>
      <c r="AL53" s="89" t="s">
        <v>287</v>
      </c>
      <c r="AM53" s="90"/>
      <c r="AN53" s="92" t="s">
        <v>288</v>
      </c>
      <c r="AO53" s="90"/>
      <c r="AP53" s="147"/>
      <c r="AQ53" s="85"/>
      <c r="AR53" s="85"/>
      <c r="AS53" s="86"/>
    </row>
    <row r="54" spans="2:45" ht="18" thickBot="1" x14ac:dyDescent="0.45">
      <c r="B54" s="3" t="s">
        <v>122</v>
      </c>
      <c r="C54" s="4" t="s">
        <v>54</v>
      </c>
      <c r="D54" s="16">
        <v>31</v>
      </c>
      <c r="U54" s="15">
        <v>31</v>
      </c>
      <c r="V54" s="3" t="s">
        <v>89</v>
      </c>
      <c r="W54" s="4" t="s">
        <v>139</v>
      </c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  <c r="AP54" s="83"/>
    </row>
    <row r="55" spans="2:45" ht="18" thickBot="1" x14ac:dyDescent="0.45">
      <c r="B55" s="3" t="s">
        <v>91</v>
      </c>
      <c r="C55" s="4" t="s">
        <v>123</v>
      </c>
      <c r="D55" s="16">
        <v>32</v>
      </c>
      <c r="U55" s="15">
        <v>32</v>
      </c>
      <c r="V55" s="3" t="s">
        <v>24</v>
      </c>
      <c r="W55" s="4" t="s">
        <v>104</v>
      </c>
      <c r="AA55" s="320" t="s">
        <v>436</v>
      </c>
      <c r="AB55" s="117" t="s">
        <v>229</v>
      </c>
      <c r="AC55" s="118"/>
      <c r="AD55" s="119"/>
      <c r="AE55" s="114" t="s">
        <v>234</v>
      </c>
      <c r="AF55" s="115"/>
      <c r="AG55" s="114" t="s">
        <v>235</v>
      </c>
      <c r="AH55" s="115"/>
      <c r="AI55" s="114" t="s">
        <v>236</v>
      </c>
      <c r="AJ55" s="116"/>
      <c r="AK55" s="115"/>
      <c r="AL55" s="100" t="s">
        <v>237</v>
      </c>
      <c r="AM55" s="98"/>
      <c r="AN55" s="98"/>
      <c r="AO55" s="98"/>
      <c r="AP55" s="98"/>
      <c r="AQ55" s="98"/>
      <c r="AR55" s="98"/>
      <c r="AS55" s="99"/>
    </row>
    <row r="56" spans="2:45" x14ac:dyDescent="0.4">
      <c r="B56" s="3" t="s">
        <v>124</v>
      </c>
      <c r="C56" s="4" t="s">
        <v>125</v>
      </c>
      <c r="D56" s="16">
        <v>33</v>
      </c>
      <c r="U56" s="15">
        <v>33</v>
      </c>
      <c r="V56" s="3" t="s">
        <v>140</v>
      </c>
      <c r="W56" s="4" t="s">
        <v>141</v>
      </c>
      <c r="AE56" s="101" t="s">
        <v>260</v>
      </c>
      <c r="AF56" s="105"/>
      <c r="AG56" s="101" t="s">
        <v>381</v>
      </c>
      <c r="AH56" s="105"/>
      <c r="AI56" s="101" t="s">
        <v>382</v>
      </c>
      <c r="AJ56" s="104"/>
      <c r="AK56" s="104"/>
      <c r="AL56" s="113" t="s">
        <v>295</v>
      </c>
      <c r="AM56" s="108"/>
      <c r="AN56" s="108" t="s">
        <v>296</v>
      </c>
      <c r="AO56" s="108"/>
      <c r="AP56" s="108"/>
      <c r="AQ56" s="108"/>
      <c r="AR56" s="108"/>
      <c r="AS56" s="109"/>
    </row>
    <row r="57" spans="2:45" ht="18" thickBot="1" x14ac:dyDescent="0.45">
      <c r="B57" s="3" t="s">
        <v>110</v>
      </c>
      <c r="C57" s="4" t="s">
        <v>126</v>
      </c>
      <c r="D57" s="16">
        <v>34</v>
      </c>
      <c r="U57" s="15">
        <v>34</v>
      </c>
      <c r="V57" s="3" t="s">
        <v>142</v>
      </c>
      <c r="W57" s="4" t="s">
        <v>143</v>
      </c>
      <c r="AE57" s="89" t="s">
        <v>260</v>
      </c>
      <c r="AF57" s="96"/>
      <c r="AG57" s="89" t="s">
        <v>244</v>
      </c>
      <c r="AH57" s="96"/>
      <c r="AI57" s="89" t="s">
        <v>383</v>
      </c>
      <c r="AJ57" s="95"/>
      <c r="AK57" s="95"/>
      <c r="AL57" s="107"/>
      <c r="AM57" s="85"/>
      <c r="AN57" s="85"/>
      <c r="AO57" s="85"/>
      <c r="AP57" s="85"/>
      <c r="AQ57" s="85"/>
      <c r="AR57" s="85"/>
      <c r="AS57" s="86"/>
    </row>
    <row r="58" spans="2:45" ht="18" thickBot="1" x14ac:dyDescent="0.45">
      <c r="B58" s="5" t="s">
        <v>127</v>
      </c>
      <c r="C58" s="6" t="s">
        <v>128</v>
      </c>
      <c r="D58" s="16">
        <v>35</v>
      </c>
      <c r="U58" s="15">
        <v>35</v>
      </c>
      <c r="V58" s="5" t="s">
        <v>144</v>
      </c>
      <c r="W58" s="6" t="s">
        <v>145</v>
      </c>
    </row>
    <row r="59" spans="2:45" ht="18" thickBot="1" x14ac:dyDescent="0.45">
      <c r="B59" s="7"/>
      <c r="C59" s="7"/>
      <c r="D59" s="16"/>
      <c r="AA59" s="47"/>
      <c r="AB59" s="117" t="s">
        <v>223</v>
      </c>
      <c r="AC59" s="118"/>
      <c r="AD59" s="119"/>
      <c r="AE59" s="114" t="s">
        <v>234</v>
      </c>
      <c r="AF59" s="115"/>
      <c r="AG59" s="114" t="s">
        <v>235</v>
      </c>
      <c r="AH59" s="115"/>
      <c r="AI59" s="114" t="s">
        <v>236</v>
      </c>
      <c r="AJ59" s="116"/>
      <c r="AK59" s="115"/>
      <c r="AL59" s="100" t="s">
        <v>237</v>
      </c>
      <c r="AM59" s="98"/>
      <c r="AN59" s="98"/>
      <c r="AO59" s="98"/>
      <c r="AP59" s="98"/>
      <c r="AQ59" s="98"/>
      <c r="AR59" s="98"/>
      <c r="AS59" s="99"/>
    </row>
    <row r="60" spans="2:45" x14ac:dyDescent="0.4">
      <c r="AB60" s="65"/>
      <c r="AC60" s="66"/>
      <c r="AD60" s="66"/>
      <c r="AE60" s="101" t="s">
        <v>239</v>
      </c>
      <c r="AF60" s="105"/>
      <c r="AG60" s="101" t="s">
        <v>261</v>
      </c>
      <c r="AH60" s="105"/>
      <c r="AI60" s="101" t="s">
        <v>377</v>
      </c>
      <c r="AJ60" s="104"/>
      <c r="AK60" s="104"/>
      <c r="AL60" s="113" t="s">
        <v>295</v>
      </c>
      <c r="AM60" s="108"/>
      <c r="AN60" s="108" t="s">
        <v>296</v>
      </c>
      <c r="AO60" s="108"/>
      <c r="AP60" s="108"/>
      <c r="AQ60" s="108"/>
      <c r="AR60" s="108"/>
      <c r="AS60" s="109"/>
    </row>
    <row r="61" spans="2:45" x14ac:dyDescent="0.4">
      <c r="AE61" s="87" t="s">
        <v>239</v>
      </c>
      <c r="AF61" s="94"/>
      <c r="AG61" s="87" t="s">
        <v>262</v>
      </c>
      <c r="AH61" s="94"/>
      <c r="AI61" s="87" t="s">
        <v>378</v>
      </c>
      <c r="AJ61" s="93"/>
      <c r="AK61" s="93"/>
      <c r="AL61" s="106"/>
      <c r="AM61" s="83"/>
      <c r="AN61" s="83"/>
      <c r="AO61" s="83"/>
      <c r="AP61" s="83"/>
      <c r="AQ61" s="83"/>
      <c r="AR61" s="83"/>
      <c r="AS61" s="84"/>
    </row>
    <row r="62" spans="2:45" x14ac:dyDescent="0.4">
      <c r="AE62" s="123" t="s">
        <v>152</v>
      </c>
      <c r="AF62" s="124"/>
      <c r="AG62" s="123"/>
      <c r="AH62" s="124"/>
      <c r="AI62" s="123"/>
      <c r="AJ62" s="125"/>
      <c r="AK62" s="125"/>
      <c r="AL62" s="106"/>
      <c r="AM62" s="83"/>
      <c r="AN62" s="83"/>
      <c r="AO62" s="83"/>
      <c r="AP62" s="83"/>
      <c r="AQ62" s="83"/>
      <c r="AR62" s="83"/>
      <c r="AS62" s="84"/>
    </row>
    <row r="63" spans="2:45" ht="18" thickBot="1" x14ac:dyDescent="0.45">
      <c r="AE63" s="89" t="s">
        <v>151</v>
      </c>
      <c r="AF63" s="96"/>
      <c r="AG63" s="89"/>
      <c r="AH63" s="96"/>
      <c r="AI63" s="89"/>
      <c r="AJ63" s="95"/>
      <c r="AK63" s="95"/>
      <c r="AL63" s="107"/>
      <c r="AM63" s="85"/>
      <c r="AN63" s="85"/>
      <c r="AO63" s="85"/>
      <c r="AP63" s="85"/>
      <c r="AQ63" s="85"/>
      <c r="AR63" s="85"/>
      <c r="AS63" s="86"/>
    </row>
    <row r="64" spans="2:45" ht="18" thickBot="1" x14ac:dyDescent="0.45"/>
    <row r="65" spans="27:45" ht="18" thickBot="1" x14ac:dyDescent="0.45">
      <c r="AA65" s="61"/>
      <c r="AB65" s="117" t="s">
        <v>230</v>
      </c>
      <c r="AC65" s="118"/>
      <c r="AD65" s="119"/>
      <c r="AE65" s="114" t="s">
        <v>234</v>
      </c>
      <c r="AF65" s="115"/>
      <c r="AG65" s="114" t="s">
        <v>235</v>
      </c>
      <c r="AH65" s="115"/>
      <c r="AI65" s="114" t="s">
        <v>236</v>
      </c>
      <c r="AJ65" s="116"/>
      <c r="AK65" s="115"/>
      <c r="AL65" s="100" t="s">
        <v>237</v>
      </c>
      <c r="AM65" s="98"/>
      <c r="AN65" s="98"/>
      <c r="AO65" s="98"/>
      <c r="AP65" s="98"/>
      <c r="AQ65" s="98"/>
      <c r="AR65" s="98"/>
      <c r="AS65" s="99"/>
    </row>
    <row r="66" spans="27:45" x14ac:dyDescent="0.4">
      <c r="AE66" s="101" t="s">
        <v>260</v>
      </c>
      <c r="AF66" s="105"/>
      <c r="AG66" s="101" t="s">
        <v>381</v>
      </c>
      <c r="AH66" s="105"/>
      <c r="AI66" s="101" t="s">
        <v>382</v>
      </c>
      <c r="AJ66" s="104"/>
      <c r="AK66" s="104"/>
      <c r="AL66" s="113" t="s">
        <v>295</v>
      </c>
      <c r="AM66" s="108"/>
      <c r="AN66" s="108" t="s">
        <v>296</v>
      </c>
      <c r="AO66" s="108"/>
      <c r="AP66" s="108"/>
      <c r="AQ66" s="108"/>
      <c r="AR66" s="108"/>
      <c r="AS66" s="109"/>
    </row>
    <row r="67" spans="27:45" ht="18" thickBot="1" x14ac:dyDescent="0.45">
      <c r="AE67" s="89" t="s">
        <v>260</v>
      </c>
      <c r="AF67" s="96"/>
      <c r="AG67" s="89" t="s">
        <v>244</v>
      </c>
      <c r="AH67" s="96"/>
      <c r="AI67" s="89" t="s">
        <v>383</v>
      </c>
      <c r="AJ67" s="95"/>
      <c r="AK67" s="95"/>
      <c r="AL67" s="107"/>
      <c r="AM67" s="85"/>
      <c r="AN67" s="85"/>
      <c r="AO67" s="85"/>
      <c r="AP67" s="85"/>
      <c r="AQ67" s="85"/>
      <c r="AR67" s="85"/>
      <c r="AS67" s="86"/>
    </row>
    <row r="68" spans="27:45" ht="18" thickBot="1" x14ac:dyDescent="0.45"/>
    <row r="69" spans="27:45" ht="18" thickBot="1" x14ac:dyDescent="0.45">
      <c r="AA69" s="72"/>
      <c r="AB69" s="117" t="s">
        <v>231</v>
      </c>
      <c r="AC69" s="118"/>
      <c r="AD69" s="119"/>
      <c r="AE69" s="97" t="s">
        <v>234</v>
      </c>
      <c r="AF69" s="99"/>
      <c r="AG69" s="97" t="s">
        <v>235</v>
      </c>
      <c r="AH69" s="99"/>
      <c r="AI69" s="97" t="s">
        <v>236</v>
      </c>
      <c r="AJ69" s="98"/>
      <c r="AK69" s="99"/>
      <c r="AL69" s="100" t="s">
        <v>237</v>
      </c>
      <c r="AM69" s="98"/>
      <c r="AN69" s="98"/>
      <c r="AO69" s="98"/>
      <c r="AP69" s="98"/>
      <c r="AQ69" s="98"/>
      <c r="AR69" s="98"/>
      <c r="AS69" s="99"/>
    </row>
    <row r="70" spans="27:45" x14ac:dyDescent="0.4">
      <c r="AE70" s="101" t="s">
        <v>239</v>
      </c>
      <c r="AF70" s="102"/>
      <c r="AG70" s="103" t="s">
        <v>271</v>
      </c>
      <c r="AH70" s="102"/>
      <c r="AI70" s="103" t="s">
        <v>449</v>
      </c>
      <c r="AJ70" s="104"/>
      <c r="AK70" s="105"/>
      <c r="AL70" s="101" t="s">
        <v>446</v>
      </c>
      <c r="AM70" s="104"/>
      <c r="AN70" s="104" t="s">
        <v>447</v>
      </c>
      <c r="AO70" s="104"/>
      <c r="AP70" s="104" t="s">
        <v>445</v>
      </c>
      <c r="AQ70" s="104"/>
      <c r="AR70" s="104" t="s">
        <v>444</v>
      </c>
      <c r="AS70" s="105"/>
    </row>
    <row r="71" spans="27:45" x14ac:dyDescent="0.4">
      <c r="AE71" s="87" t="s">
        <v>205</v>
      </c>
      <c r="AF71" s="88"/>
      <c r="AG71" s="91"/>
      <c r="AH71" s="88"/>
      <c r="AI71" s="91"/>
      <c r="AJ71" s="93"/>
      <c r="AK71" s="94"/>
      <c r="AL71" s="83"/>
      <c r="AM71" s="83"/>
      <c r="AN71" s="83"/>
      <c r="AO71" s="83"/>
      <c r="AP71" s="83"/>
      <c r="AQ71" s="83"/>
      <c r="AR71" s="83"/>
      <c r="AS71" s="84"/>
    </row>
    <row r="72" spans="27:45" ht="18" thickBot="1" x14ac:dyDescent="0.45">
      <c r="AE72" s="89" t="s">
        <v>151</v>
      </c>
      <c r="AF72" s="90"/>
      <c r="AG72" s="92"/>
      <c r="AH72" s="90"/>
      <c r="AI72" s="92"/>
      <c r="AJ72" s="95"/>
      <c r="AK72" s="96"/>
      <c r="AL72" s="85"/>
      <c r="AM72" s="85"/>
      <c r="AN72" s="85"/>
      <c r="AO72" s="85"/>
      <c r="AP72" s="85"/>
      <c r="AQ72" s="85"/>
      <c r="AR72" s="85"/>
      <c r="AS72" s="86"/>
    </row>
    <row r="73" spans="27:45" ht="18" thickBot="1" x14ac:dyDescent="0.45"/>
    <row r="74" spans="27:45" ht="18" thickBot="1" x14ac:dyDescent="0.45">
      <c r="AA74" s="64" t="s">
        <v>380</v>
      </c>
      <c r="AB74" s="110" t="s">
        <v>379</v>
      </c>
      <c r="AC74" s="111"/>
      <c r="AD74" s="112"/>
      <c r="AE74" s="114" t="s">
        <v>234</v>
      </c>
      <c r="AF74" s="115"/>
      <c r="AG74" s="114" t="s">
        <v>235</v>
      </c>
      <c r="AH74" s="115"/>
      <c r="AI74" s="114" t="s">
        <v>236</v>
      </c>
      <c r="AJ74" s="116"/>
      <c r="AK74" s="115"/>
      <c r="AL74" s="100" t="s">
        <v>237</v>
      </c>
      <c r="AM74" s="98"/>
      <c r="AN74" s="98"/>
      <c r="AO74" s="98"/>
      <c r="AP74" s="98"/>
      <c r="AQ74" s="98"/>
      <c r="AR74" s="98"/>
      <c r="AS74" s="99"/>
    </row>
    <row r="75" spans="27:45" x14ac:dyDescent="0.4">
      <c r="AE75" s="101" t="s">
        <v>385</v>
      </c>
      <c r="AF75" s="105"/>
      <c r="AG75" s="101" t="s">
        <v>242</v>
      </c>
      <c r="AH75" s="105"/>
      <c r="AI75" s="101" t="s">
        <v>386</v>
      </c>
      <c r="AJ75" s="104"/>
      <c r="AK75" s="104"/>
      <c r="AL75" s="113" t="s">
        <v>295</v>
      </c>
      <c r="AM75" s="108"/>
      <c r="AN75" s="108" t="s">
        <v>384</v>
      </c>
      <c r="AO75" s="108"/>
      <c r="AP75" s="108"/>
      <c r="AQ75" s="108"/>
      <c r="AR75" s="108"/>
      <c r="AS75" s="109"/>
    </row>
    <row r="76" spans="27:45" x14ac:dyDescent="0.4">
      <c r="AE76" s="87" t="s">
        <v>385</v>
      </c>
      <c r="AF76" s="94"/>
      <c r="AG76" s="87" t="s">
        <v>264</v>
      </c>
      <c r="AH76" s="94"/>
      <c r="AI76" s="87" t="s">
        <v>387</v>
      </c>
      <c r="AJ76" s="93"/>
      <c r="AK76" s="93"/>
      <c r="AL76" s="106"/>
      <c r="AM76" s="83"/>
      <c r="AN76" s="83"/>
      <c r="AO76" s="83"/>
      <c r="AP76" s="83"/>
      <c r="AQ76" s="83"/>
      <c r="AR76" s="83"/>
      <c r="AS76" s="84"/>
    </row>
    <row r="77" spans="27:45" x14ac:dyDescent="0.4">
      <c r="AE77" s="123" t="s">
        <v>205</v>
      </c>
      <c r="AF77" s="124"/>
      <c r="AG77" s="123"/>
      <c r="AH77" s="124"/>
      <c r="AI77" s="123"/>
      <c r="AJ77" s="125"/>
      <c r="AK77" s="125"/>
      <c r="AL77" s="106"/>
      <c r="AM77" s="83"/>
      <c r="AN77" s="83"/>
      <c r="AO77" s="83"/>
      <c r="AP77" s="83"/>
      <c r="AQ77" s="83"/>
      <c r="AR77" s="83"/>
      <c r="AS77" s="84"/>
    </row>
    <row r="78" spans="27:45" ht="18" thickBot="1" x14ac:dyDescent="0.45">
      <c r="AE78" s="89" t="s">
        <v>151</v>
      </c>
      <c r="AF78" s="96"/>
      <c r="AG78" s="89"/>
      <c r="AH78" s="96"/>
      <c r="AI78" s="89"/>
      <c r="AJ78" s="95"/>
      <c r="AK78" s="95"/>
      <c r="AL78" s="107"/>
      <c r="AM78" s="85"/>
      <c r="AN78" s="85"/>
      <c r="AO78" s="85"/>
      <c r="AP78" s="85"/>
      <c r="AQ78" s="85"/>
      <c r="AR78" s="85"/>
      <c r="AS78" s="86"/>
    </row>
  </sheetData>
  <mergeCells count="292">
    <mergeCell ref="AE57:AF57"/>
    <mergeCell ref="AG57:AH57"/>
    <mergeCell ref="AI57:AK57"/>
    <mergeCell ref="AL57:AS57"/>
    <mergeCell ref="AB55:AD55"/>
    <mergeCell ref="AE55:AF55"/>
    <mergeCell ref="AG55:AH55"/>
    <mergeCell ref="AI55:AK55"/>
    <mergeCell ref="AL55:AS55"/>
    <mergeCell ref="AE56:AF56"/>
    <mergeCell ref="AG56:AH56"/>
    <mergeCell ref="AI56:AK56"/>
    <mergeCell ref="AL56:AM56"/>
    <mergeCell ref="AN56:AS56"/>
    <mergeCell ref="AP32:AQ32"/>
    <mergeCell ref="AR32:AS32"/>
    <mergeCell ref="AQ34:AS34"/>
    <mergeCell ref="AQ40:AS40"/>
    <mergeCell ref="AQ41:AS41"/>
    <mergeCell ref="AQ47:AS47"/>
    <mergeCell ref="AQ48:AS48"/>
    <mergeCell ref="AP51:AQ51"/>
    <mergeCell ref="AR45:AS45"/>
    <mergeCell ref="AP44:AQ44"/>
    <mergeCell ref="AR37:AS37"/>
    <mergeCell ref="AR38:AS38"/>
    <mergeCell ref="AP37:AQ37"/>
    <mergeCell ref="AP38:AQ38"/>
    <mergeCell ref="AR39:AS39"/>
    <mergeCell ref="AP39:AQ39"/>
    <mergeCell ref="AE65:AF65"/>
    <mergeCell ref="AG65:AH65"/>
    <mergeCell ref="AI65:AK65"/>
    <mergeCell ref="AL65:AS65"/>
    <mergeCell ref="AE66:AF66"/>
    <mergeCell ref="AG66:AH66"/>
    <mergeCell ref="AI66:AK66"/>
    <mergeCell ref="AL66:AM66"/>
    <mergeCell ref="AB65:AD65"/>
    <mergeCell ref="AG61:AH61"/>
    <mergeCell ref="AI61:AK61"/>
    <mergeCell ref="AE62:AF62"/>
    <mergeCell ref="AG62:AH62"/>
    <mergeCell ref="AI62:AK62"/>
    <mergeCell ref="AL62:AS62"/>
    <mergeCell ref="AL63:AS63"/>
    <mergeCell ref="AL61:AS61"/>
    <mergeCell ref="AP53:AS53"/>
    <mergeCell ref="AE63:AF63"/>
    <mergeCell ref="AG63:AH63"/>
    <mergeCell ref="AI63:AK63"/>
    <mergeCell ref="AE61:AF61"/>
    <mergeCell ref="AB59:AD59"/>
    <mergeCell ref="AL59:AS59"/>
    <mergeCell ref="AE60:AF60"/>
    <mergeCell ref="AG60:AH60"/>
    <mergeCell ref="AI60:AK60"/>
    <mergeCell ref="AL60:AM60"/>
    <mergeCell ref="AE59:AF59"/>
    <mergeCell ref="AG59:AH59"/>
    <mergeCell ref="AI59:AK59"/>
    <mergeCell ref="AN60:AS60"/>
    <mergeCell ref="AI50:AK50"/>
    <mergeCell ref="AL50:AS50"/>
    <mergeCell ref="AE51:AF51"/>
    <mergeCell ref="AG51:AH51"/>
    <mergeCell ref="AI51:AK51"/>
    <mergeCell ref="AL51:AM51"/>
    <mergeCell ref="AN51:AO51"/>
    <mergeCell ref="AR51:AS51"/>
    <mergeCell ref="AE54:AF54"/>
    <mergeCell ref="AG54:AH54"/>
    <mergeCell ref="AI54:AK54"/>
    <mergeCell ref="AL54:AM54"/>
    <mergeCell ref="AN54:AP54"/>
    <mergeCell ref="AE52:AF52"/>
    <mergeCell ref="AG52:AH52"/>
    <mergeCell ref="AI52:AK52"/>
    <mergeCell ref="AL52:AM52"/>
    <mergeCell ref="AN52:AO52"/>
    <mergeCell ref="AE53:AF53"/>
    <mergeCell ref="AG53:AH53"/>
    <mergeCell ref="AI53:AK53"/>
    <mergeCell ref="AL53:AM53"/>
    <mergeCell ref="AN53:AO53"/>
    <mergeCell ref="AP52:AS52"/>
    <mergeCell ref="AI48:AK48"/>
    <mergeCell ref="AL48:AM48"/>
    <mergeCell ref="AN40:AP41"/>
    <mergeCell ref="AN47:AP48"/>
    <mergeCell ref="AR46:AS46"/>
    <mergeCell ref="AE47:AF47"/>
    <mergeCell ref="AG47:AH47"/>
    <mergeCell ref="AI47:AK47"/>
    <mergeCell ref="AL47:AM47"/>
    <mergeCell ref="AE46:AF46"/>
    <mergeCell ref="AG46:AH46"/>
    <mergeCell ref="AI46:AK46"/>
    <mergeCell ref="AL46:AM46"/>
    <mergeCell ref="AN46:AO46"/>
    <mergeCell ref="AP46:AQ46"/>
    <mergeCell ref="AR44:AS44"/>
    <mergeCell ref="AE45:AF45"/>
    <mergeCell ref="AG45:AH45"/>
    <mergeCell ref="AI45:AK45"/>
    <mergeCell ref="AL45:AM45"/>
    <mergeCell ref="AN45:AO45"/>
    <mergeCell ref="AP45:AQ45"/>
    <mergeCell ref="AL44:AM44"/>
    <mergeCell ref="AN44:AO44"/>
    <mergeCell ref="AE44:AF44"/>
    <mergeCell ref="AL36:AS36"/>
    <mergeCell ref="AE38:AF38"/>
    <mergeCell ref="AG38:AH38"/>
    <mergeCell ref="AI38:AK38"/>
    <mergeCell ref="AI44:AK44"/>
    <mergeCell ref="AE36:AF36"/>
    <mergeCell ref="AG36:AH36"/>
    <mergeCell ref="AI36:AK36"/>
    <mergeCell ref="AE40:AF40"/>
    <mergeCell ref="AG40:AH40"/>
    <mergeCell ref="AI40:AK40"/>
    <mergeCell ref="AL40:AM40"/>
    <mergeCell ref="AE39:AF39"/>
    <mergeCell ref="AG39:AH39"/>
    <mergeCell ref="AI39:AK39"/>
    <mergeCell ref="AL39:AM39"/>
    <mergeCell ref="AN39:AO39"/>
    <mergeCell ref="AG43:AH43"/>
    <mergeCell ref="AI43:AK43"/>
    <mergeCell ref="AL43:AS43"/>
    <mergeCell ref="AE41:AF41"/>
    <mergeCell ref="AG41:AH41"/>
    <mergeCell ref="AI41:AK41"/>
    <mergeCell ref="AL41:AM41"/>
    <mergeCell ref="AE37:AF37"/>
    <mergeCell ref="AG37:AH37"/>
    <mergeCell ref="AI37:AK37"/>
    <mergeCell ref="AL37:AM37"/>
    <mergeCell ref="AN37:AO37"/>
    <mergeCell ref="AL38:AM38"/>
    <mergeCell ref="AN38:AO38"/>
    <mergeCell ref="AL34:AM34"/>
    <mergeCell ref="AN34:AP34"/>
    <mergeCell ref="AE33:AF33"/>
    <mergeCell ref="AG33:AH33"/>
    <mergeCell ref="AI33:AK33"/>
    <mergeCell ref="AL33:AM33"/>
    <mergeCell ref="AN33:AP33"/>
    <mergeCell ref="AE34:AF34"/>
    <mergeCell ref="AG34:AH34"/>
    <mergeCell ref="AI34:AK34"/>
    <mergeCell ref="AL30:AM30"/>
    <mergeCell ref="AN30:AO30"/>
    <mergeCell ref="AE31:AF31"/>
    <mergeCell ref="AG31:AH31"/>
    <mergeCell ref="AI31:AK31"/>
    <mergeCell ref="AL31:AM31"/>
    <mergeCell ref="AN31:AO31"/>
    <mergeCell ref="AE32:AF32"/>
    <mergeCell ref="AG32:AH32"/>
    <mergeCell ref="AI32:AK32"/>
    <mergeCell ref="AL32:AM32"/>
    <mergeCell ref="AN32:AO32"/>
    <mergeCell ref="AI30:AK30"/>
    <mergeCell ref="AP30:AS30"/>
    <mergeCell ref="AP31:AS31"/>
    <mergeCell ref="AQ33:AS33"/>
    <mergeCell ref="AL26:AM26"/>
    <mergeCell ref="AL27:AM27"/>
    <mergeCell ref="AN26:AP26"/>
    <mergeCell ref="AN27:AP27"/>
    <mergeCell ref="AI27:AK27"/>
    <mergeCell ref="AE29:AF29"/>
    <mergeCell ref="AG29:AH29"/>
    <mergeCell ref="AI29:AK29"/>
    <mergeCell ref="AL29:AS29"/>
    <mergeCell ref="AQ27:AS27"/>
    <mergeCell ref="AE27:AF27"/>
    <mergeCell ref="AL22:AS22"/>
    <mergeCell ref="AB22:AD22"/>
    <mergeCell ref="AE23:AF23"/>
    <mergeCell ref="AE24:AF24"/>
    <mergeCell ref="AE25:AF25"/>
    <mergeCell ref="AE26:AF26"/>
    <mergeCell ref="AI23:AK23"/>
    <mergeCell ref="AI24:AK24"/>
    <mergeCell ref="AI25:AK25"/>
    <mergeCell ref="AI26:AK26"/>
    <mergeCell ref="AL23:AM23"/>
    <mergeCell ref="AN23:AO23"/>
    <mergeCell ref="AL24:AM24"/>
    <mergeCell ref="AN24:AO24"/>
    <mergeCell ref="AL25:AM25"/>
    <mergeCell ref="AN25:AO25"/>
    <mergeCell ref="AR25:AS25"/>
    <mergeCell ref="AP23:AS23"/>
    <mergeCell ref="AP24:AS24"/>
    <mergeCell ref="AQ26:AS26"/>
    <mergeCell ref="AE22:AF22"/>
    <mergeCell ref="AG23:AH23"/>
    <mergeCell ref="AG24:AH24"/>
    <mergeCell ref="AG25:AH25"/>
    <mergeCell ref="AP25:AQ25"/>
    <mergeCell ref="E34:F34"/>
    <mergeCell ref="S23:T23"/>
    <mergeCell ref="S36:T36"/>
    <mergeCell ref="B23:C23"/>
    <mergeCell ref="V23:W23"/>
    <mergeCell ref="J5:O7"/>
    <mergeCell ref="AA14:AC14"/>
    <mergeCell ref="AA15:AC15"/>
    <mergeCell ref="AA16:AC16"/>
    <mergeCell ref="AA17:AC17"/>
    <mergeCell ref="AA18:AC18"/>
    <mergeCell ref="T17:V17"/>
    <mergeCell ref="T18:V18"/>
    <mergeCell ref="E23:F23"/>
    <mergeCell ref="T19:V19"/>
    <mergeCell ref="AB29:AD29"/>
    <mergeCell ref="AA19:AC19"/>
    <mergeCell ref="AA20:AC20"/>
    <mergeCell ref="AA21:AC21"/>
    <mergeCell ref="T11:V11"/>
    <mergeCell ref="T12:V12"/>
    <mergeCell ref="T16:V16"/>
    <mergeCell ref="T20:V20"/>
    <mergeCell ref="T13:V13"/>
    <mergeCell ref="T14:V14"/>
    <mergeCell ref="T15:V15"/>
    <mergeCell ref="AE77:AF77"/>
    <mergeCell ref="AG77:AH77"/>
    <mergeCell ref="AI77:AK77"/>
    <mergeCell ref="AE78:AF78"/>
    <mergeCell ref="AG78:AH78"/>
    <mergeCell ref="AI78:AK78"/>
    <mergeCell ref="AG22:AH22"/>
    <mergeCell ref="AI22:AK22"/>
    <mergeCell ref="AG44:AH44"/>
    <mergeCell ref="AG26:AH26"/>
    <mergeCell ref="AG27:AH27"/>
    <mergeCell ref="AB50:AD50"/>
    <mergeCell ref="AE30:AF30"/>
    <mergeCell ref="AG30:AH30"/>
    <mergeCell ref="AE48:AF48"/>
    <mergeCell ref="AG48:AH48"/>
    <mergeCell ref="AB36:AD36"/>
    <mergeCell ref="AE50:AF50"/>
    <mergeCell ref="AG50:AH50"/>
    <mergeCell ref="AB43:AD43"/>
    <mergeCell ref="AE43:AF43"/>
    <mergeCell ref="AL76:AS76"/>
    <mergeCell ref="AL77:AS77"/>
    <mergeCell ref="AL78:AS78"/>
    <mergeCell ref="AN66:AS66"/>
    <mergeCell ref="AL67:AS67"/>
    <mergeCell ref="AB74:AD74"/>
    <mergeCell ref="AE75:AF75"/>
    <mergeCell ref="AG75:AH75"/>
    <mergeCell ref="AI75:AK75"/>
    <mergeCell ref="AL75:AM75"/>
    <mergeCell ref="AN75:AS75"/>
    <mergeCell ref="AE76:AF76"/>
    <mergeCell ref="AG76:AH76"/>
    <mergeCell ref="AI76:AK76"/>
    <mergeCell ref="AE67:AF67"/>
    <mergeCell ref="AG67:AH67"/>
    <mergeCell ref="AI67:AK67"/>
    <mergeCell ref="AE74:AF74"/>
    <mergeCell ref="AG74:AH74"/>
    <mergeCell ref="AI74:AK74"/>
    <mergeCell ref="AL74:AS74"/>
    <mergeCell ref="AB69:AD69"/>
    <mergeCell ref="AE69:AF69"/>
    <mergeCell ref="AG69:AH69"/>
    <mergeCell ref="AL71:AS71"/>
    <mergeCell ref="AL72:AS72"/>
    <mergeCell ref="AE71:AF71"/>
    <mergeCell ref="AE72:AF72"/>
    <mergeCell ref="AG71:AH71"/>
    <mergeCell ref="AG72:AH72"/>
    <mergeCell ref="AI71:AK71"/>
    <mergeCell ref="AI72:AK72"/>
    <mergeCell ref="AI69:AK69"/>
    <mergeCell ref="AL69:AS69"/>
    <mergeCell ref="AE70:AF70"/>
    <mergeCell ref="AG70:AH70"/>
    <mergeCell ref="AI70:AK70"/>
    <mergeCell ref="AL70:AM70"/>
    <mergeCell ref="AN70:AO70"/>
    <mergeCell ref="AP70:AQ70"/>
    <mergeCell ref="AR70:AS70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011B2-BB08-4853-B00F-4B3F63D312E7}">
  <dimension ref="C2:AI90"/>
  <sheetViews>
    <sheetView tabSelected="1" topLeftCell="B1" zoomScale="70" zoomScaleNormal="70" workbookViewId="0">
      <selection activeCell="C34" sqref="C34"/>
    </sheetView>
  </sheetViews>
  <sheetFormatPr defaultRowHeight="17.399999999999999" x14ac:dyDescent="0.4"/>
  <sheetData>
    <row r="2" spans="3:35" ht="18" thickBot="1" x14ac:dyDescent="0.45"/>
    <row r="3" spans="3:35" ht="18" thickBot="1" x14ac:dyDescent="0.45">
      <c r="C3" s="161" t="s">
        <v>462</v>
      </c>
      <c r="D3" s="164"/>
      <c r="E3" s="163" t="s">
        <v>476</v>
      </c>
      <c r="F3" s="162"/>
      <c r="G3" s="162"/>
      <c r="H3" s="162"/>
      <c r="I3" s="164"/>
      <c r="J3" s="182" t="s">
        <v>470</v>
      </c>
      <c r="K3" s="182"/>
      <c r="L3" s="182"/>
      <c r="M3" s="182"/>
      <c r="N3" s="182"/>
      <c r="O3" s="182"/>
      <c r="P3" s="183"/>
      <c r="Q3" s="161" t="s">
        <v>481</v>
      </c>
      <c r="R3" s="164"/>
      <c r="T3" s="161" t="s">
        <v>486</v>
      </c>
      <c r="U3" s="190"/>
      <c r="V3" s="162" t="s">
        <v>461</v>
      </c>
      <c r="W3" s="162"/>
      <c r="X3" s="162"/>
      <c r="Y3" s="161" t="s">
        <v>462</v>
      </c>
      <c r="Z3" s="164"/>
      <c r="AA3" s="324"/>
      <c r="AB3" s="324"/>
      <c r="AC3" s="324"/>
      <c r="AD3" s="324"/>
      <c r="AE3" s="324"/>
      <c r="AF3" s="324"/>
      <c r="AG3" s="324"/>
      <c r="AH3" s="323"/>
      <c r="AI3" s="324"/>
    </row>
    <row r="4" spans="3:35" x14ac:dyDescent="0.4">
      <c r="C4" s="97" t="s">
        <v>463</v>
      </c>
      <c r="D4" s="99"/>
      <c r="E4" s="113" t="s">
        <v>456</v>
      </c>
      <c r="F4" s="108"/>
      <c r="G4" s="108"/>
      <c r="H4" s="108"/>
      <c r="I4" s="108"/>
      <c r="J4" s="77">
        <v>1</v>
      </c>
      <c r="K4" s="180" t="s">
        <v>488</v>
      </c>
      <c r="L4" s="180"/>
      <c r="M4" s="180"/>
      <c r="N4" s="180"/>
      <c r="O4" s="180"/>
      <c r="P4" s="181"/>
      <c r="Q4" s="195" t="s">
        <v>483</v>
      </c>
      <c r="R4" s="196"/>
      <c r="T4" s="155">
        <v>1</v>
      </c>
      <c r="U4" s="157"/>
      <c r="V4" s="168" t="s">
        <v>456</v>
      </c>
      <c r="W4" s="168"/>
      <c r="X4" s="168"/>
      <c r="Y4" s="106" t="s">
        <v>463</v>
      </c>
      <c r="Z4" s="84"/>
      <c r="AA4" s="321"/>
      <c r="AB4" s="322"/>
      <c r="AC4" s="322"/>
      <c r="AD4" s="322"/>
      <c r="AE4" s="322"/>
      <c r="AF4" s="322"/>
      <c r="AG4" s="322"/>
      <c r="AH4" s="322"/>
      <c r="AI4" s="322"/>
    </row>
    <row r="5" spans="3:35" x14ac:dyDescent="0.4">
      <c r="C5" s="165"/>
      <c r="D5" s="166"/>
      <c r="E5" s="106"/>
      <c r="F5" s="83"/>
      <c r="G5" s="83"/>
      <c r="H5" s="83"/>
      <c r="I5" s="83"/>
      <c r="J5" s="198">
        <v>2</v>
      </c>
      <c r="K5" s="170" t="s">
        <v>468</v>
      </c>
      <c r="L5" s="168"/>
      <c r="M5" s="168"/>
      <c r="N5" s="168"/>
      <c r="O5" s="168"/>
      <c r="P5" s="171"/>
      <c r="Q5" s="106" t="s">
        <v>482</v>
      </c>
      <c r="R5" s="84"/>
      <c r="T5" s="191">
        <f t="shared" ref="T5:T12" si="0">T4+1</f>
        <v>2</v>
      </c>
      <c r="U5" s="192"/>
      <c r="V5" s="169" t="s">
        <v>460</v>
      </c>
      <c r="W5" s="169"/>
      <c r="X5" s="169"/>
      <c r="Y5" s="174" t="s">
        <v>573</v>
      </c>
      <c r="Z5" s="175"/>
      <c r="AA5" s="322"/>
      <c r="AB5" s="322"/>
      <c r="AC5" s="322"/>
      <c r="AD5" s="322"/>
      <c r="AE5" s="322"/>
      <c r="AF5" s="322"/>
      <c r="AG5" s="322"/>
      <c r="AH5" s="322"/>
      <c r="AI5" s="322"/>
    </row>
    <row r="6" spans="3:35" x14ac:dyDescent="0.4">
      <c r="C6" s="165"/>
      <c r="D6" s="166"/>
      <c r="E6" s="106"/>
      <c r="F6" s="83"/>
      <c r="G6" s="83"/>
      <c r="H6" s="83"/>
      <c r="I6" s="83"/>
      <c r="J6" s="198"/>
      <c r="K6" s="170" t="s">
        <v>479</v>
      </c>
      <c r="L6" s="168"/>
      <c r="M6" s="168"/>
      <c r="N6" s="168"/>
      <c r="O6" s="168"/>
      <c r="P6" s="171"/>
      <c r="Q6" s="106"/>
      <c r="R6" s="84"/>
      <c r="T6" s="155">
        <f t="shared" si="0"/>
        <v>3</v>
      </c>
      <c r="U6" s="157"/>
      <c r="V6" s="168" t="s">
        <v>493</v>
      </c>
      <c r="W6" s="168"/>
      <c r="X6" s="168"/>
      <c r="Y6" s="106" t="s">
        <v>465</v>
      </c>
      <c r="Z6" s="84"/>
      <c r="AA6" s="322"/>
      <c r="AB6" s="322"/>
      <c r="AC6" s="322"/>
      <c r="AD6" s="322"/>
      <c r="AE6" s="322"/>
      <c r="AF6" s="322"/>
      <c r="AG6" s="322"/>
      <c r="AH6" s="322"/>
      <c r="AI6" s="322"/>
    </row>
    <row r="7" spans="3:35" x14ac:dyDescent="0.4">
      <c r="C7" s="165"/>
      <c r="D7" s="166"/>
      <c r="E7" s="106"/>
      <c r="F7" s="83"/>
      <c r="G7" s="83"/>
      <c r="H7" s="83"/>
      <c r="I7" s="83"/>
      <c r="J7" s="75">
        <v>3</v>
      </c>
      <c r="K7" s="172" t="s">
        <v>480</v>
      </c>
      <c r="L7" s="169"/>
      <c r="M7" s="169"/>
      <c r="N7" s="169"/>
      <c r="O7" s="169"/>
      <c r="P7" s="173"/>
      <c r="Q7" s="174" t="s">
        <v>483</v>
      </c>
      <c r="R7" s="175"/>
      <c r="T7" s="191">
        <f t="shared" si="0"/>
        <v>4</v>
      </c>
      <c r="U7" s="192"/>
      <c r="V7" s="169" t="s">
        <v>457</v>
      </c>
      <c r="W7" s="169"/>
      <c r="X7" s="169"/>
      <c r="Y7" s="174" t="s">
        <v>574</v>
      </c>
      <c r="Z7" s="175"/>
      <c r="AE7" s="322"/>
      <c r="AF7" s="322"/>
      <c r="AG7" s="322"/>
      <c r="AH7" s="322"/>
      <c r="AI7" s="322"/>
    </row>
    <row r="8" spans="3:35" ht="18" thickBot="1" x14ac:dyDescent="0.45">
      <c r="C8" s="141"/>
      <c r="D8" s="167"/>
      <c r="E8" s="107"/>
      <c r="F8" s="85"/>
      <c r="G8" s="85"/>
      <c r="H8" s="85"/>
      <c r="I8" s="85"/>
      <c r="J8" s="80">
        <v>4</v>
      </c>
      <c r="K8" s="176" t="s">
        <v>467</v>
      </c>
      <c r="L8" s="177"/>
      <c r="M8" s="177"/>
      <c r="N8" s="177"/>
      <c r="O8" s="177"/>
      <c r="P8" s="178"/>
      <c r="Q8" s="107" t="s">
        <v>483</v>
      </c>
      <c r="R8" s="86"/>
      <c r="T8" s="155">
        <f t="shared" si="0"/>
        <v>5</v>
      </c>
      <c r="U8" s="157"/>
      <c r="V8" s="168" t="s">
        <v>453</v>
      </c>
      <c r="W8" s="168"/>
      <c r="X8" s="168"/>
      <c r="Y8" s="106" t="s">
        <v>464</v>
      </c>
      <c r="Z8" s="84"/>
      <c r="AE8" s="322"/>
      <c r="AF8" s="322"/>
      <c r="AG8" s="322"/>
      <c r="AH8" s="322"/>
      <c r="AI8" s="322"/>
    </row>
    <row r="9" spans="3:35" x14ac:dyDescent="0.4">
      <c r="C9" s="100" t="s">
        <v>571</v>
      </c>
      <c r="D9" s="99"/>
      <c r="E9" s="113" t="s">
        <v>575</v>
      </c>
      <c r="F9" s="108"/>
      <c r="G9" s="108"/>
      <c r="H9" s="108"/>
      <c r="I9" s="109"/>
      <c r="J9" s="79">
        <v>1</v>
      </c>
      <c r="K9" s="187" t="s">
        <v>487</v>
      </c>
      <c r="L9" s="188"/>
      <c r="M9" s="188"/>
      <c r="N9" s="188"/>
      <c r="O9" s="188"/>
      <c r="P9" s="189"/>
      <c r="Q9" s="113" t="s">
        <v>483</v>
      </c>
      <c r="R9" s="109"/>
      <c r="T9" s="191">
        <f t="shared" si="0"/>
        <v>6</v>
      </c>
      <c r="U9" s="192"/>
      <c r="V9" s="169" t="s">
        <v>458</v>
      </c>
      <c r="W9" s="169"/>
      <c r="X9" s="169"/>
      <c r="Y9" s="174" t="s">
        <v>574</v>
      </c>
      <c r="Z9" s="175"/>
      <c r="AE9" s="322"/>
      <c r="AF9" s="322"/>
      <c r="AG9" s="322"/>
      <c r="AH9" s="322"/>
      <c r="AI9" s="322"/>
    </row>
    <row r="10" spans="3:35" x14ac:dyDescent="0.4">
      <c r="C10" s="165"/>
      <c r="D10" s="166"/>
      <c r="E10" s="106"/>
      <c r="F10" s="83"/>
      <c r="G10" s="83"/>
      <c r="H10" s="83"/>
      <c r="I10" s="84"/>
      <c r="J10" s="75">
        <v>2</v>
      </c>
      <c r="K10" s="172" t="s">
        <v>489</v>
      </c>
      <c r="L10" s="169"/>
      <c r="M10" s="169"/>
      <c r="N10" s="169"/>
      <c r="O10" s="169"/>
      <c r="P10" s="173"/>
      <c r="Q10" s="174" t="s">
        <v>483</v>
      </c>
      <c r="R10" s="175"/>
      <c r="T10" s="155">
        <f t="shared" si="0"/>
        <v>7</v>
      </c>
      <c r="U10" s="157"/>
      <c r="V10" s="168" t="s">
        <v>494</v>
      </c>
      <c r="W10" s="168"/>
      <c r="X10" s="168"/>
      <c r="Y10" s="106" t="s">
        <v>465</v>
      </c>
      <c r="Z10" s="84"/>
      <c r="AE10" s="322"/>
      <c r="AF10" s="322"/>
      <c r="AG10" s="322"/>
      <c r="AH10" s="322"/>
      <c r="AI10" s="322"/>
    </row>
    <row r="11" spans="3:35" x14ac:dyDescent="0.4">
      <c r="C11" s="165"/>
      <c r="D11" s="166"/>
      <c r="E11" s="106"/>
      <c r="F11" s="83"/>
      <c r="G11" s="83"/>
      <c r="H11" s="83"/>
      <c r="I11" s="84"/>
      <c r="J11" s="78">
        <v>3</v>
      </c>
      <c r="K11" s="170" t="s">
        <v>490</v>
      </c>
      <c r="L11" s="168"/>
      <c r="M11" s="168"/>
      <c r="N11" s="168"/>
      <c r="O11" s="168"/>
      <c r="P11" s="171"/>
      <c r="Q11" s="106" t="s">
        <v>483</v>
      </c>
      <c r="R11" s="84"/>
      <c r="T11" s="191">
        <f t="shared" si="0"/>
        <v>8</v>
      </c>
      <c r="U11" s="192"/>
      <c r="V11" s="169" t="s">
        <v>459</v>
      </c>
      <c r="W11" s="169"/>
      <c r="X11" s="169"/>
      <c r="Y11" s="174" t="s">
        <v>573</v>
      </c>
      <c r="Z11" s="175"/>
      <c r="AE11" s="322"/>
      <c r="AF11" s="322"/>
      <c r="AG11" s="322"/>
      <c r="AH11" s="322"/>
      <c r="AI11" s="322"/>
    </row>
    <row r="12" spans="3:35" ht="18" thickBot="1" x14ac:dyDescent="0.45">
      <c r="C12" s="165"/>
      <c r="D12" s="166"/>
      <c r="E12" s="106"/>
      <c r="F12" s="83"/>
      <c r="G12" s="83"/>
      <c r="H12" s="83"/>
      <c r="I12" s="84"/>
      <c r="J12" s="75">
        <v>4</v>
      </c>
      <c r="K12" s="172" t="s">
        <v>578</v>
      </c>
      <c r="L12" s="169"/>
      <c r="M12" s="169"/>
      <c r="N12" s="169"/>
      <c r="O12" s="169"/>
      <c r="P12" s="173"/>
      <c r="Q12" s="174" t="s">
        <v>482</v>
      </c>
      <c r="R12" s="175"/>
      <c r="T12" s="158">
        <f t="shared" si="0"/>
        <v>9</v>
      </c>
      <c r="U12" s="160"/>
      <c r="V12" s="177" t="s">
        <v>454</v>
      </c>
      <c r="W12" s="177"/>
      <c r="X12" s="177"/>
      <c r="Y12" s="107" t="s">
        <v>466</v>
      </c>
      <c r="Z12" s="86"/>
      <c r="AE12" s="322"/>
      <c r="AF12" s="322"/>
      <c r="AG12" s="322"/>
      <c r="AH12" s="322"/>
      <c r="AI12" s="322"/>
    </row>
    <row r="13" spans="3:35" ht="18" thickBot="1" x14ac:dyDescent="0.45">
      <c r="C13" s="141"/>
      <c r="D13" s="167"/>
      <c r="E13" s="107"/>
      <c r="F13" s="85"/>
      <c r="G13" s="85"/>
      <c r="H13" s="85"/>
      <c r="I13" s="86"/>
      <c r="J13" s="80">
        <v>5</v>
      </c>
      <c r="K13" s="176" t="s">
        <v>572</v>
      </c>
      <c r="L13" s="177"/>
      <c r="M13" s="177"/>
      <c r="N13" s="177"/>
      <c r="O13" s="177"/>
      <c r="P13" s="178"/>
      <c r="Q13" s="107" t="s">
        <v>483</v>
      </c>
      <c r="R13" s="86"/>
      <c r="T13" s="324"/>
      <c r="U13" s="324"/>
      <c r="V13" s="322"/>
      <c r="W13" s="322"/>
      <c r="AE13" s="322"/>
      <c r="AF13" s="322"/>
      <c r="AG13" s="322"/>
      <c r="AH13" s="322"/>
      <c r="AI13" s="322"/>
    </row>
    <row r="14" spans="3:35" x14ac:dyDescent="0.4">
      <c r="C14" s="100" t="s">
        <v>573</v>
      </c>
      <c r="D14" s="99"/>
      <c r="E14" s="113" t="s">
        <v>576</v>
      </c>
      <c r="F14" s="108"/>
      <c r="G14" s="108"/>
      <c r="H14" s="108"/>
      <c r="I14" s="109"/>
      <c r="J14" s="77">
        <v>1</v>
      </c>
      <c r="K14" s="179" t="s">
        <v>487</v>
      </c>
      <c r="L14" s="180"/>
      <c r="M14" s="180"/>
      <c r="N14" s="180"/>
      <c r="O14" s="180"/>
      <c r="P14" s="181"/>
      <c r="Q14" s="195" t="s">
        <v>483</v>
      </c>
      <c r="R14" s="196"/>
      <c r="T14" s="324"/>
      <c r="U14" s="324"/>
      <c r="V14" s="322"/>
      <c r="W14" s="322"/>
      <c r="AE14" s="322"/>
      <c r="AF14" s="322"/>
      <c r="AG14" s="322"/>
      <c r="AH14" s="322"/>
      <c r="AI14" s="322"/>
    </row>
    <row r="15" spans="3:35" x14ac:dyDescent="0.4">
      <c r="C15" s="165"/>
      <c r="D15" s="166"/>
      <c r="E15" s="106"/>
      <c r="F15" s="83"/>
      <c r="G15" s="83"/>
      <c r="H15" s="83"/>
      <c r="I15" s="84"/>
      <c r="J15" s="78">
        <v>2</v>
      </c>
      <c r="K15" s="170" t="s">
        <v>489</v>
      </c>
      <c r="L15" s="168"/>
      <c r="M15" s="168"/>
      <c r="N15" s="168"/>
      <c r="O15" s="168"/>
      <c r="P15" s="171"/>
      <c r="Q15" s="106" t="s">
        <v>483</v>
      </c>
      <c r="R15" s="84"/>
      <c r="T15" s="324"/>
      <c r="U15" s="324"/>
      <c r="V15" s="322"/>
      <c r="W15" s="322"/>
      <c r="AE15" s="322"/>
      <c r="AF15" s="322"/>
      <c r="AG15" s="322"/>
      <c r="AH15" s="322"/>
      <c r="AI15" s="322"/>
    </row>
    <row r="16" spans="3:35" x14ac:dyDescent="0.4">
      <c r="C16" s="165"/>
      <c r="D16" s="166"/>
      <c r="E16" s="106"/>
      <c r="F16" s="83"/>
      <c r="G16" s="83"/>
      <c r="H16" s="83"/>
      <c r="I16" s="84"/>
      <c r="J16" s="75">
        <v>3</v>
      </c>
      <c r="K16" s="172" t="s">
        <v>490</v>
      </c>
      <c r="L16" s="169"/>
      <c r="M16" s="169"/>
      <c r="N16" s="169"/>
      <c r="O16" s="169"/>
      <c r="P16" s="173"/>
      <c r="Q16" s="174" t="s">
        <v>483</v>
      </c>
      <c r="R16" s="175"/>
      <c r="T16" s="324"/>
      <c r="U16" s="324"/>
      <c r="V16" s="322"/>
      <c r="W16" s="322"/>
      <c r="AE16" s="322"/>
      <c r="AF16" s="322"/>
      <c r="AG16" s="322"/>
      <c r="AH16" s="322"/>
      <c r="AI16" s="322"/>
    </row>
    <row r="17" spans="3:35" x14ac:dyDescent="0.4">
      <c r="C17" s="165"/>
      <c r="D17" s="166"/>
      <c r="E17" s="106"/>
      <c r="F17" s="83"/>
      <c r="G17" s="83"/>
      <c r="H17" s="83"/>
      <c r="I17" s="84"/>
      <c r="J17" s="78">
        <v>4</v>
      </c>
      <c r="K17" s="170" t="s">
        <v>577</v>
      </c>
      <c r="L17" s="168"/>
      <c r="M17" s="168"/>
      <c r="N17" s="168"/>
      <c r="O17" s="168"/>
      <c r="P17" s="171"/>
      <c r="Q17" s="106" t="s">
        <v>482</v>
      </c>
      <c r="R17" s="84"/>
      <c r="T17" s="324"/>
      <c r="U17" s="324"/>
      <c r="V17" s="322"/>
      <c r="W17" s="322"/>
      <c r="X17" s="322"/>
      <c r="Y17" s="322"/>
      <c r="Z17" s="322"/>
      <c r="AA17" s="321"/>
      <c r="AB17" s="322"/>
      <c r="AC17" s="322"/>
      <c r="AD17" s="322"/>
      <c r="AE17" s="322"/>
      <c r="AF17" s="322"/>
      <c r="AG17" s="322"/>
      <c r="AH17" s="322"/>
      <c r="AI17" s="322"/>
    </row>
    <row r="18" spans="3:35" ht="18" thickBot="1" x14ac:dyDescent="0.45">
      <c r="C18" s="141"/>
      <c r="D18" s="167"/>
      <c r="E18" s="107"/>
      <c r="F18" s="85"/>
      <c r="G18" s="85"/>
      <c r="H18" s="85"/>
      <c r="I18" s="86"/>
      <c r="J18" s="76">
        <v>5</v>
      </c>
      <c r="K18" s="184" t="s">
        <v>469</v>
      </c>
      <c r="L18" s="185"/>
      <c r="M18" s="185"/>
      <c r="N18" s="185"/>
      <c r="O18" s="185"/>
      <c r="P18" s="186"/>
      <c r="Q18" s="193" t="s">
        <v>483</v>
      </c>
      <c r="R18" s="194"/>
      <c r="T18" s="324"/>
      <c r="U18" s="324"/>
      <c r="V18" s="322"/>
      <c r="W18" s="322"/>
      <c r="X18" s="322"/>
      <c r="Y18" s="322"/>
      <c r="Z18" s="322"/>
      <c r="AA18" s="321"/>
      <c r="AB18" s="322"/>
      <c r="AC18" s="322"/>
      <c r="AD18" s="322"/>
      <c r="AE18" s="322"/>
      <c r="AF18" s="322"/>
      <c r="AG18" s="322"/>
      <c r="AH18" s="322"/>
      <c r="AI18" s="322"/>
    </row>
    <row r="19" spans="3:35" x14ac:dyDescent="0.4">
      <c r="C19" s="100" t="s">
        <v>465</v>
      </c>
      <c r="D19" s="99"/>
      <c r="E19" s="113" t="s">
        <v>477</v>
      </c>
      <c r="F19" s="108"/>
      <c r="G19" s="108"/>
      <c r="H19" s="108"/>
      <c r="I19" s="109"/>
      <c r="J19" s="77">
        <v>1</v>
      </c>
      <c r="K19" s="179" t="s">
        <v>491</v>
      </c>
      <c r="L19" s="180"/>
      <c r="M19" s="180"/>
      <c r="N19" s="180"/>
      <c r="O19" s="180"/>
      <c r="P19" s="181"/>
      <c r="Q19" s="195" t="s">
        <v>483</v>
      </c>
      <c r="R19" s="196"/>
      <c r="T19" s="324"/>
      <c r="U19" s="324"/>
      <c r="V19" s="322"/>
      <c r="W19" s="322"/>
      <c r="X19" s="322"/>
      <c r="Y19" s="322"/>
      <c r="Z19" s="322"/>
      <c r="AA19" s="321"/>
      <c r="AB19" s="322"/>
      <c r="AC19" s="322"/>
      <c r="AD19" s="322"/>
      <c r="AE19" s="322"/>
      <c r="AF19" s="322"/>
      <c r="AG19" s="322"/>
      <c r="AH19" s="322"/>
      <c r="AI19" s="322"/>
    </row>
    <row r="20" spans="3:35" x14ac:dyDescent="0.4">
      <c r="C20" s="165"/>
      <c r="D20" s="166"/>
      <c r="E20" s="106"/>
      <c r="F20" s="83"/>
      <c r="G20" s="83"/>
      <c r="H20" s="83"/>
      <c r="I20" s="84"/>
      <c r="J20" s="78">
        <v>2</v>
      </c>
      <c r="K20" s="170" t="s">
        <v>471</v>
      </c>
      <c r="L20" s="168"/>
      <c r="M20" s="168"/>
      <c r="N20" s="168"/>
      <c r="O20" s="168"/>
      <c r="P20" s="171"/>
      <c r="Q20" s="106" t="s">
        <v>483</v>
      </c>
      <c r="R20" s="84"/>
      <c r="T20" s="324"/>
      <c r="U20" s="324"/>
      <c r="V20" s="322"/>
      <c r="W20" s="322"/>
      <c r="X20" s="322"/>
      <c r="Y20" s="322"/>
      <c r="Z20" s="322"/>
      <c r="AA20" s="321"/>
      <c r="AB20" s="322"/>
      <c r="AC20" s="322"/>
      <c r="AD20" s="322"/>
      <c r="AE20" s="322"/>
      <c r="AF20" s="322"/>
      <c r="AG20" s="322"/>
      <c r="AH20" s="322"/>
      <c r="AI20" s="322"/>
    </row>
    <row r="21" spans="3:35" x14ac:dyDescent="0.4">
      <c r="C21" s="165"/>
      <c r="D21" s="166"/>
      <c r="E21" s="106"/>
      <c r="F21" s="83"/>
      <c r="G21" s="83"/>
      <c r="H21" s="83"/>
      <c r="I21" s="84"/>
      <c r="J21" s="75">
        <v>3</v>
      </c>
      <c r="K21" s="172" t="s">
        <v>485</v>
      </c>
      <c r="L21" s="169"/>
      <c r="M21" s="169"/>
      <c r="N21" s="169"/>
      <c r="O21" s="169"/>
      <c r="P21" s="173"/>
      <c r="Q21" s="174" t="s">
        <v>482</v>
      </c>
      <c r="R21" s="175"/>
      <c r="T21" s="324"/>
      <c r="U21" s="324"/>
      <c r="V21" s="322"/>
      <c r="W21" s="322"/>
      <c r="X21" s="322"/>
      <c r="Y21" s="322"/>
      <c r="Z21" s="322"/>
      <c r="AA21" s="321"/>
      <c r="AB21" s="322"/>
      <c r="AC21" s="322"/>
      <c r="AD21" s="322"/>
      <c r="AE21" s="322"/>
      <c r="AF21" s="322"/>
      <c r="AG21" s="322"/>
      <c r="AH21" s="322"/>
      <c r="AI21" s="322"/>
    </row>
    <row r="22" spans="3:35" ht="18" thickBot="1" x14ac:dyDescent="0.45">
      <c r="C22" s="141"/>
      <c r="D22" s="167"/>
      <c r="E22" s="107"/>
      <c r="F22" s="85"/>
      <c r="G22" s="85"/>
      <c r="H22" s="85"/>
      <c r="I22" s="86"/>
      <c r="J22" s="80">
        <v>4</v>
      </c>
      <c r="K22" s="176" t="s">
        <v>472</v>
      </c>
      <c r="L22" s="177"/>
      <c r="M22" s="177"/>
      <c r="N22" s="177"/>
      <c r="O22" s="177"/>
      <c r="P22" s="178"/>
      <c r="Q22" s="107" t="s">
        <v>483</v>
      </c>
      <c r="R22" s="86"/>
      <c r="T22" s="324"/>
      <c r="U22" s="324"/>
      <c r="V22" s="322"/>
      <c r="W22" s="322"/>
      <c r="X22" s="322"/>
      <c r="Y22" s="322"/>
      <c r="Z22" s="322"/>
      <c r="AA22" s="321"/>
      <c r="AB22" s="322"/>
      <c r="AC22" s="322"/>
      <c r="AD22" s="322"/>
      <c r="AE22" s="322"/>
      <c r="AF22" s="322"/>
      <c r="AG22" s="322"/>
      <c r="AH22" s="322"/>
      <c r="AI22" s="322"/>
    </row>
    <row r="23" spans="3:35" x14ac:dyDescent="0.4">
      <c r="C23" s="100" t="s">
        <v>464</v>
      </c>
      <c r="D23" s="99"/>
      <c r="E23" s="113" t="s">
        <v>484</v>
      </c>
      <c r="F23" s="108"/>
      <c r="G23" s="108"/>
      <c r="H23" s="108"/>
      <c r="I23" s="109"/>
      <c r="J23" s="77">
        <v>1</v>
      </c>
      <c r="K23" s="179" t="s">
        <v>492</v>
      </c>
      <c r="L23" s="180"/>
      <c r="M23" s="180"/>
      <c r="N23" s="180"/>
      <c r="O23" s="180"/>
      <c r="P23" s="181"/>
      <c r="Q23" s="174" t="s">
        <v>483</v>
      </c>
      <c r="R23" s="175"/>
      <c r="AA23" s="321"/>
      <c r="AB23" s="322"/>
      <c r="AC23" s="322"/>
      <c r="AD23" s="322"/>
      <c r="AE23" s="322"/>
      <c r="AF23" s="322"/>
      <c r="AG23" s="322"/>
      <c r="AH23" s="322"/>
      <c r="AI23" s="322"/>
    </row>
    <row r="24" spans="3:35" x14ac:dyDescent="0.4">
      <c r="C24" s="165"/>
      <c r="D24" s="166"/>
      <c r="E24" s="106"/>
      <c r="F24" s="83"/>
      <c r="G24" s="83"/>
      <c r="H24" s="83"/>
      <c r="I24" s="84"/>
      <c r="J24" s="78">
        <v>2</v>
      </c>
      <c r="K24" s="170" t="s">
        <v>473</v>
      </c>
      <c r="L24" s="168"/>
      <c r="M24" s="168"/>
      <c r="N24" s="168"/>
      <c r="O24" s="168"/>
      <c r="P24" s="171"/>
      <c r="Q24" s="106" t="s">
        <v>483</v>
      </c>
      <c r="R24" s="84"/>
      <c r="AA24" s="321"/>
      <c r="AB24" s="322"/>
      <c r="AC24" s="322"/>
      <c r="AD24" s="322"/>
      <c r="AE24" s="322"/>
      <c r="AF24" s="322"/>
      <c r="AG24" s="322"/>
      <c r="AH24" s="322"/>
      <c r="AI24" s="322"/>
    </row>
    <row r="25" spans="3:35" x14ac:dyDescent="0.4">
      <c r="C25" s="165"/>
      <c r="D25" s="166"/>
      <c r="E25" s="106"/>
      <c r="F25" s="83"/>
      <c r="G25" s="83"/>
      <c r="H25" s="83"/>
      <c r="I25" s="84"/>
      <c r="J25" s="75">
        <v>3</v>
      </c>
      <c r="K25" s="172" t="s">
        <v>496</v>
      </c>
      <c r="L25" s="169"/>
      <c r="M25" s="169"/>
      <c r="N25" s="169"/>
      <c r="O25" s="169"/>
      <c r="P25" s="173"/>
      <c r="Q25" s="174" t="s">
        <v>482</v>
      </c>
      <c r="R25" s="175"/>
      <c r="AA25" s="321"/>
      <c r="AB25" s="322"/>
      <c r="AC25" s="322"/>
      <c r="AD25" s="322"/>
      <c r="AE25" s="322"/>
      <c r="AF25" s="322"/>
      <c r="AG25" s="322"/>
      <c r="AH25" s="322"/>
      <c r="AI25" s="322"/>
    </row>
    <row r="26" spans="3:35" x14ac:dyDescent="0.4">
      <c r="C26" s="165"/>
      <c r="D26" s="166"/>
      <c r="E26" s="106"/>
      <c r="F26" s="83"/>
      <c r="G26" s="83"/>
      <c r="H26" s="83"/>
      <c r="I26" s="84"/>
      <c r="J26" s="78">
        <v>4</v>
      </c>
      <c r="K26" s="170" t="s">
        <v>455</v>
      </c>
      <c r="L26" s="168"/>
      <c r="M26" s="168"/>
      <c r="N26" s="168"/>
      <c r="O26" s="168"/>
      <c r="P26" s="171"/>
      <c r="Q26" s="106" t="s">
        <v>483</v>
      </c>
      <c r="R26" s="84"/>
      <c r="AA26" s="321"/>
      <c r="AB26" s="322"/>
      <c r="AC26" s="322"/>
      <c r="AD26" s="322"/>
      <c r="AE26" s="322"/>
      <c r="AF26" s="322"/>
      <c r="AG26" s="322"/>
      <c r="AH26" s="322"/>
      <c r="AI26" s="322"/>
    </row>
    <row r="27" spans="3:35" x14ac:dyDescent="0.4">
      <c r="C27" s="165"/>
      <c r="D27" s="166"/>
      <c r="E27" s="106"/>
      <c r="F27" s="83"/>
      <c r="G27" s="83"/>
      <c r="H27" s="83"/>
      <c r="I27" s="84"/>
      <c r="J27" s="75">
        <v>5</v>
      </c>
      <c r="K27" s="172" t="s">
        <v>497</v>
      </c>
      <c r="L27" s="169"/>
      <c r="M27" s="169"/>
      <c r="N27" s="169"/>
      <c r="O27" s="169"/>
      <c r="P27" s="173"/>
      <c r="Q27" s="174" t="s">
        <v>482</v>
      </c>
      <c r="R27" s="175"/>
      <c r="AA27" s="321"/>
      <c r="AB27" s="322"/>
      <c r="AC27" s="322"/>
      <c r="AD27" s="322"/>
      <c r="AE27" s="322"/>
      <c r="AF27" s="322"/>
      <c r="AG27" s="322"/>
      <c r="AH27" s="322"/>
      <c r="AI27" s="322"/>
    </row>
    <row r="28" spans="3:35" x14ac:dyDescent="0.4">
      <c r="C28" s="165"/>
      <c r="D28" s="166"/>
      <c r="E28" s="106"/>
      <c r="F28" s="83"/>
      <c r="G28" s="83"/>
      <c r="H28" s="83"/>
      <c r="I28" s="84"/>
      <c r="J28" s="78">
        <v>6</v>
      </c>
      <c r="K28" s="170" t="s">
        <v>495</v>
      </c>
      <c r="L28" s="168"/>
      <c r="M28" s="168"/>
      <c r="N28" s="168"/>
      <c r="O28" s="168"/>
      <c r="P28" s="171"/>
      <c r="Q28" s="106" t="s">
        <v>483</v>
      </c>
      <c r="R28" s="84"/>
      <c r="AA28" s="321"/>
      <c r="AB28" s="322"/>
      <c r="AC28" s="322"/>
      <c r="AD28" s="322"/>
      <c r="AE28" s="322"/>
      <c r="AF28" s="322"/>
      <c r="AG28" s="322"/>
      <c r="AH28" s="322"/>
      <c r="AI28" s="322"/>
    </row>
    <row r="29" spans="3:35" ht="18" thickBot="1" x14ac:dyDescent="0.45">
      <c r="C29" s="141"/>
      <c r="D29" s="167"/>
      <c r="E29" s="107"/>
      <c r="F29" s="85"/>
      <c r="G29" s="85"/>
      <c r="H29" s="85"/>
      <c r="I29" s="86"/>
      <c r="J29" s="76">
        <v>7</v>
      </c>
      <c r="K29" s="184" t="s">
        <v>498</v>
      </c>
      <c r="L29" s="185"/>
      <c r="M29" s="185"/>
      <c r="N29" s="185"/>
      <c r="O29" s="185"/>
      <c r="P29" s="186"/>
      <c r="Q29" s="174" t="s">
        <v>483</v>
      </c>
      <c r="R29" s="175"/>
      <c r="AA29" s="321"/>
      <c r="AB29" s="322"/>
      <c r="AC29" s="322"/>
      <c r="AD29" s="322"/>
      <c r="AE29" s="322"/>
      <c r="AF29" s="322"/>
      <c r="AG29" s="322"/>
      <c r="AH29" s="322"/>
      <c r="AI29" s="322"/>
    </row>
    <row r="30" spans="3:35" x14ac:dyDescent="0.4">
      <c r="C30" s="165" t="s">
        <v>466</v>
      </c>
      <c r="D30" s="166"/>
      <c r="E30" s="113" t="s">
        <v>478</v>
      </c>
      <c r="F30" s="108"/>
      <c r="G30" s="108"/>
      <c r="H30" s="108"/>
      <c r="I30" s="109"/>
      <c r="J30" s="78">
        <v>1</v>
      </c>
      <c r="K30" s="187" t="s">
        <v>474</v>
      </c>
      <c r="L30" s="188"/>
      <c r="M30" s="188"/>
      <c r="N30" s="188"/>
      <c r="O30" s="188"/>
      <c r="P30" s="189"/>
      <c r="Q30" s="113" t="s">
        <v>483</v>
      </c>
      <c r="R30" s="109"/>
      <c r="S30" t="s">
        <v>269</v>
      </c>
      <c r="AA30" s="321"/>
      <c r="AB30" s="322"/>
      <c r="AC30" s="322"/>
      <c r="AD30" s="322"/>
      <c r="AE30" s="322"/>
      <c r="AF30" s="322"/>
      <c r="AG30" s="322"/>
      <c r="AH30" s="322"/>
      <c r="AI30" s="322"/>
    </row>
    <row r="31" spans="3:35" ht="18" thickBot="1" x14ac:dyDescent="0.45">
      <c r="C31" s="141"/>
      <c r="D31" s="167"/>
      <c r="E31" s="107"/>
      <c r="F31" s="85"/>
      <c r="G31" s="85"/>
      <c r="H31" s="85"/>
      <c r="I31" s="86"/>
      <c r="J31" s="76">
        <v>2</v>
      </c>
      <c r="K31" s="184" t="s">
        <v>475</v>
      </c>
      <c r="L31" s="185"/>
      <c r="M31" s="185"/>
      <c r="N31" s="185"/>
      <c r="O31" s="185"/>
      <c r="P31" s="186"/>
      <c r="Q31" s="193" t="s">
        <v>483</v>
      </c>
      <c r="R31" s="194"/>
      <c r="AA31" s="321"/>
      <c r="AB31" s="322"/>
      <c r="AC31" s="322"/>
      <c r="AD31" s="322"/>
      <c r="AE31" s="322"/>
      <c r="AF31" s="322"/>
      <c r="AG31" s="322"/>
      <c r="AH31" s="322"/>
      <c r="AI31" s="322"/>
    </row>
    <row r="34" spans="3:17" x14ac:dyDescent="0.4">
      <c r="C34" s="323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</row>
    <row r="35" spans="3:17" x14ac:dyDescent="0.4">
      <c r="C35" s="323"/>
      <c r="D35" s="323"/>
      <c r="E35" s="323"/>
      <c r="F35" s="323"/>
      <c r="G35" s="325"/>
      <c r="H35" s="325"/>
      <c r="I35" s="325"/>
      <c r="J35" s="325"/>
      <c r="K35" s="325"/>
      <c r="L35" s="325"/>
      <c r="M35" s="325"/>
      <c r="N35" s="325"/>
      <c r="O35" s="325"/>
      <c r="P35" s="325"/>
      <c r="Q35" s="325"/>
    </row>
    <row r="36" spans="3:17" x14ac:dyDescent="0.4">
      <c r="C36" s="324"/>
      <c r="D36" s="324"/>
      <c r="E36" s="324"/>
      <c r="F36" s="324"/>
      <c r="G36" s="325"/>
      <c r="H36" s="325"/>
      <c r="I36" s="325"/>
      <c r="J36" s="325"/>
      <c r="K36" s="325"/>
      <c r="L36" s="325"/>
      <c r="M36" s="325"/>
      <c r="N36" s="325"/>
      <c r="O36" s="325"/>
      <c r="P36" s="325"/>
      <c r="Q36" s="325"/>
    </row>
    <row r="37" spans="3:17" x14ac:dyDescent="0.4">
      <c r="C37" s="324"/>
      <c r="D37" s="324"/>
      <c r="E37" s="324"/>
      <c r="F37" s="324"/>
      <c r="G37" s="325"/>
      <c r="H37" s="325"/>
      <c r="I37" s="325"/>
      <c r="J37" s="325"/>
      <c r="K37" s="325"/>
      <c r="L37" s="325"/>
      <c r="M37" s="325"/>
      <c r="N37" s="325"/>
      <c r="O37" s="325"/>
      <c r="P37" s="325"/>
      <c r="Q37" s="325"/>
    </row>
    <row r="38" spans="3:17" x14ac:dyDescent="0.4">
      <c r="C38" s="324"/>
      <c r="D38" s="324"/>
      <c r="E38" s="324"/>
      <c r="F38" s="324"/>
      <c r="G38" s="325"/>
      <c r="H38" s="325"/>
      <c r="I38" s="325"/>
      <c r="J38" s="325"/>
      <c r="K38" s="325"/>
      <c r="L38" s="325"/>
      <c r="M38" s="325"/>
      <c r="N38" s="325"/>
      <c r="O38" s="325"/>
      <c r="P38" s="325"/>
      <c r="Q38" s="325"/>
    </row>
    <row r="39" spans="3:17" x14ac:dyDescent="0.4">
      <c r="C39" s="324"/>
      <c r="D39" s="324"/>
      <c r="E39" s="324"/>
      <c r="F39" s="324"/>
      <c r="G39" s="325"/>
      <c r="H39" s="325"/>
      <c r="I39" s="325"/>
      <c r="J39" s="325"/>
      <c r="K39" s="325"/>
      <c r="L39" s="325"/>
      <c r="M39" s="325"/>
      <c r="N39" s="325"/>
      <c r="O39" s="325"/>
      <c r="P39" s="325"/>
      <c r="Q39" s="325"/>
    </row>
    <row r="40" spans="3:17" x14ac:dyDescent="0.4">
      <c r="C40" s="324"/>
      <c r="D40" s="324"/>
      <c r="E40" s="324"/>
      <c r="F40" s="324"/>
      <c r="G40" s="325"/>
      <c r="H40" s="325"/>
      <c r="I40" s="325"/>
      <c r="J40" s="325"/>
      <c r="K40" s="325"/>
      <c r="L40" s="325"/>
      <c r="M40" s="325"/>
      <c r="N40" s="325"/>
      <c r="O40" s="325"/>
      <c r="P40" s="325"/>
      <c r="Q40" s="325"/>
    </row>
    <row r="41" spans="3:17" x14ac:dyDescent="0.4">
      <c r="C41" s="324"/>
      <c r="D41" s="324"/>
      <c r="E41" s="324"/>
      <c r="F41" s="324"/>
      <c r="G41" s="325"/>
      <c r="H41" s="325"/>
      <c r="I41" s="325"/>
      <c r="J41" s="325"/>
      <c r="K41" s="325"/>
      <c r="L41" s="325"/>
      <c r="M41" s="325"/>
      <c r="N41" s="325"/>
      <c r="O41" s="325"/>
      <c r="P41" s="325"/>
      <c r="Q41" s="325"/>
    </row>
    <row r="42" spans="3:17" x14ac:dyDescent="0.4">
      <c r="C42" s="324"/>
      <c r="D42" s="324"/>
      <c r="E42" s="324"/>
      <c r="F42" s="324"/>
      <c r="G42" s="325"/>
      <c r="H42" s="325"/>
      <c r="I42" s="325"/>
      <c r="J42" s="325"/>
      <c r="K42" s="325"/>
      <c r="L42" s="325"/>
      <c r="M42" s="325"/>
      <c r="N42" s="325"/>
      <c r="O42" s="325"/>
      <c r="P42" s="325"/>
      <c r="Q42" s="325"/>
    </row>
    <row r="43" spans="3:17" x14ac:dyDescent="0.4">
      <c r="C43" s="324"/>
      <c r="D43" s="324"/>
      <c r="E43" s="324"/>
      <c r="F43" s="324"/>
      <c r="G43" s="325"/>
      <c r="H43" s="325"/>
      <c r="I43" s="325"/>
      <c r="J43" s="325"/>
      <c r="K43" s="325"/>
      <c r="L43" s="325"/>
      <c r="M43" s="325"/>
      <c r="N43" s="325"/>
      <c r="O43" s="325"/>
      <c r="P43" s="325"/>
      <c r="Q43" s="325"/>
    </row>
    <row r="44" spans="3:17" x14ac:dyDescent="0.4">
      <c r="C44" s="324"/>
      <c r="D44" s="324"/>
      <c r="E44" s="324"/>
      <c r="F44" s="324"/>
      <c r="G44" s="325"/>
      <c r="H44" s="325"/>
      <c r="I44" s="325"/>
      <c r="J44" s="325"/>
      <c r="K44" s="325"/>
      <c r="L44" s="325"/>
      <c r="M44" s="325"/>
      <c r="N44" s="325"/>
      <c r="O44" s="325"/>
      <c r="P44" s="325"/>
      <c r="Q44" s="325"/>
    </row>
    <row r="45" spans="3:17" x14ac:dyDescent="0.4">
      <c r="C45" s="324"/>
      <c r="D45" s="324"/>
      <c r="E45" s="324"/>
      <c r="F45" s="324"/>
      <c r="G45" s="325"/>
      <c r="H45" s="325"/>
      <c r="I45" s="325"/>
      <c r="J45" s="325"/>
      <c r="K45" s="325"/>
      <c r="L45" s="325"/>
      <c r="M45" s="325"/>
      <c r="N45" s="325"/>
      <c r="O45" s="325"/>
      <c r="P45" s="325"/>
      <c r="Q45" s="325"/>
    </row>
    <row r="46" spans="3:17" x14ac:dyDescent="0.4">
      <c r="C46" s="324"/>
      <c r="D46" s="324"/>
      <c r="E46" s="324"/>
      <c r="F46" s="324"/>
      <c r="G46" s="325"/>
      <c r="H46" s="325"/>
      <c r="I46" s="325"/>
      <c r="J46" s="325"/>
      <c r="K46" s="325"/>
      <c r="L46" s="325"/>
      <c r="M46" s="325"/>
      <c r="N46" s="325"/>
      <c r="O46" s="325"/>
      <c r="P46" s="325"/>
      <c r="Q46" s="325"/>
    </row>
    <row r="47" spans="3:17" x14ac:dyDescent="0.4">
      <c r="C47" s="324"/>
      <c r="D47" s="324"/>
      <c r="E47" s="324"/>
      <c r="F47" s="324"/>
      <c r="G47" s="325"/>
      <c r="H47" s="325"/>
      <c r="I47" s="325"/>
      <c r="J47" s="325"/>
      <c r="K47" s="325"/>
      <c r="L47" s="325"/>
      <c r="M47" s="325"/>
      <c r="N47" s="325"/>
      <c r="O47" s="325"/>
      <c r="P47" s="325"/>
      <c r="Q47" s="325"/>
    </row>
    <row r="48" spans="3:17" x14ac:dyDescent="0.4">
      <c r="C48" s="324"/>
      <c r="D48" s="324"/>
      <c r="E48" s="324"/>
      <c r="F48" s="324"/>
      <c r="G48" s="325"/>
      <c r="H48" s="325"/>
      <c r="I48" s="325"/>
      <c r="J48" s="325"/>
      <c r="K48" s="325"/>
      <c r="L48" s="325"/>
      <c r="M48" s="325"/>
      <c r="N48" s="325"/>
      <c r="O48" s="325"/>
      <c r="P48" s="325"/>
      <c r="Q48" s="325"/>
    </row>
    <row r="49" spans="3:17" x14ac:dyDescent="0.4">
      <c r="C49" s="324"/>
      <c r="D49" s="324"/>
      <c r="E49" s="324"/>
      <c r="F49" s="324"/>
      <c r="G49" s="325"/>
      <c r="H49" s="325"/>
      <c r="I49" s="325"/>
      <c r="J49" s="325"/>
      <c r="K49" s="325"/>
      <c r="L49" s="325"/>
      <c r="M49" s="325"/>
      <c r="N49" s="325"/>
      <c r="O49" s="325"/>
      <c r="P49" s="325"/>
      <c r="Q49" s="325"/>
    </row>
    <row r="50" spans="3:17" x14ac:dyDescent="0.4">
      <c r="C50" s="323"/>
      <c r="D50" s="324"/>
      <c r="E50" s="324"/>
      <c r="F50" s="324"/>
      <c r="G50" s="325"/>
      <c r="H50" s="325"/>
      <c r="I50" s="325"/>
      <c r="J50" s="325"/>
      <c r="K50" s="325"/>
      <c r="L50" s="325"/>
      <c r="M50" s="325"/>
      <c r="N50" s="325"/>
      <c r="O50" s="325"/>
      <c r="P50" s="325"/>
      <c r="Q50" s="325"/>
    </row>
    <row r="51" spans="3:17" x14ac:dyDescent="0.4">
      <c r="C51" s="324"/>
      <c r="D51" s="324"/>
      <c r="E51" s="324"/>
      <c r="F51" s="324"/>
      <c r="G51" s="325"/>
      <c r="H51" s="325"/>
      <c r="I51" s="325"/>
      <c r="J51" s="325"/>
      <c r="K51" s="325"/>
      <c r="L51" s="325"/>
      <c r="M51" s="325"/>
      <c r="N51" s="325"/>
      <c r="O51" s="325"/>
      <c r="P51" s="325"/>
      <c r="Q51" s="325"/>
    </row>
    <row r="52" spans="3:17" x14ac:dyDescent="0.4">
      <c r="C52" s="324"/>
      <c r="D52" s="324"/>
      <c r="E52" s="324"/>
      <c r="F52" s="324"/>
      <c r="G52" s="325"/>
      <c r="H52" s="325"/>
      <c r="I52" s="325"/>
      <c r="J52" s="325"/>
      <c r="K52" s="325"/>
      <c r="L52" s="325"/>
      <c r="M52" s="325"/>
      <c r="N52" s="325"/>
      <c r="O52" s="325"/>
      <c r="P52" s="325"/>
      <c r="Q52" s="325"/>
    </row>
    <row r="53" spans="3:17" x14ac:dyDescent="0.4">
      <c r="C53" s="324"/>
      <c r="D53" s="324"/>
      <c r="E53" s="324"/>
      <c r="F53" s="324"/>
      <c r="G53" s="325"/>
      <c r="H53" s="325"/>
      <c r="I53" s="325"/>
      <c r="J53" s="325"/>
      <c r="K53" s="325"/>
      <c r="L53" s="325"/>
      <c r="M53" s="325"/>
      <c r="N53" s="325"/>
      <c r="O53" s="325"/>
      <c r="P53" s="325"/>
      <c r="Q53" s="325"/>
    </row>
    <row r="54" spans="3:17" x14ac:dyDescent="0.4">
      <c r="C54" s="324"/>
      <c r="D54" s="324"/>
      <c r="E54" s="324"/>
      <c r="F54" s="324"/>
      <c r="G54" s="325"/>
      <c r="H54" s="325"/>
      <c r="I54" s="325"/>
      <c r="J54" s="325"/>
      <c r="K54" s="325"/>
      <c r="L54" s="325"/>
      <c r="M54" s="325"/>
      <c r="N54" s="325"/>
      <c r="O54" s="325"/>
      <c r="P54" s="325"/>
      <c r="Q54" s="325"/>
    </row>
    <row r="55" spans="3:17" x14ac:dyDescent="0.4">
      <c r="C55" s="324"/>
      <c r="D55" s="324"/>
      <c r="E55" s="324"/>
      <c r="F55" s="324"/>
      <c r="G55" s="325"/>
      <c r="H55" s="325"/>
      <c r="I55" s="325"/>
      <c r="J55" s="325"/>
      <c r="K55" s="325"/>
      <c r="L55" s="325"/>
      <c r="M55" s="325"/>
      <c r="N55" s="325"/>
      <c r="O55" s="325"/>
      <c r="P55" s="325"/>
      <c r="Q55" s="325"/>
    </row>
    <row r="56" spans="3:17" x14ac:dyDescent="0.4">
      <c r="C56" s="324"/>
      <c r="D56" s="324"/>
      <c r="E56" s="324"/>
      <c r="F56" s="324"/>
      <c r="G56" s="325"/>
      <c r="H56" s="325"/>
      <c r="I56" s="325"/>
      <c r="J56" s="325"/>
      <c r="K56" s="325"/>
      <c r="L56" s="325"/>
      <c r="M56" s="325"/>
      <c r="N56" s="325"/>
      <c r="O56" s="325"/>
      <c r="P56" s="325"/>
      <c r="Q56" s="325"/>
    </row>
    <row r="57" spans="3:17" x14ac:dyDescent="0.4">
      <c r="C57" s="324"/>
      <c r="D57" s="324"/>
      <c r="E57" s="324"/>
      <c r="F57" s="324"/>
      <c r="G57" s="325"/>
      <c r="H57" s="325"/>
      <c r="I57" s="325"/>
      <c r="J57" s="325"/>
      <c r="K57" s="325"/>
      <c r="L57" s="325"/>
      <c r="M57" s="325"/>
      <c r="N57" s="325"/>
      <c r="O57" s="325"/>
      <c r="P57" s="325"/>
      <c r="Q57" s="325"/>
    </row>
    <row r="58" spans="3:17" x14ac:dyDescent="0.4">
      <c r="C58" s="324"/>
      <c r="D58" s="324"/>
      <c r="E58" s="324"/>
      <c r="F58" s="324"/>
      <c r="G58" s="325"/>
      <c r="H58" s="325"/>
      <c r="I58" s="325"/>
      <c r="J58" s="325"/>
      <c r="K58" s="325"/>
      <c r="L58" s="325"/>
      <c r="M58" s="325"/>
      <c r="N58" s="325"/>
      <c r="O58" s="325"/>
      <c r="P58" s="325"/>
      <c r="Q58" s="325"/>
    </row>
    <row r="59" spans="3:17" x14ac:dyDescent="0.4">
      <c r="C59" s="324"/>
      <c r="D59" s="324"/>
      <c r="E59" s="324"/>
      <c r="F59" s="324"/>
      <c r="G59" s="325"/>
      <c r="H59" s="325"/>
      <c r="I59" s="325"/>
      <c r="J59" s="325"/>
      <c r="K59" s="325"/>
      <c r="L59" s="325"/>
      <c r="M59" s="325"/>
      <c r="N59" s="325"/>
      <c r="O59" s="325"/>
      <c r="P59" s="325"/>
      <c r="Q59" s="325"/>
    </row>
    <row r="60" spans="3:17" x14ac:dyDescent="0.4">
      <c r="C60" s="324"/>
      <c r="D60" s="324"/>
      <c r="E60" s="324"/>
      <c r="F60" s="324"/>
      <c r="G60" s="325"/>
      <c r="H60" s="325"/>
      <c r="I60" s="325"/>
      <c r="J60" s="325"/>
      <c r="K60" s="325"/>
      <c r="L60" s="325"/>
      <c r="M60" s="325"/>
      <c r="N60" s="325"/>
      <c r="O60" s="325"/>
      <c r="P60" s="325"/>
      <c r="Q60" s="325"/>
    </row>
    <row r="61" spans="3:17" x14ac:dyDescent="0.4">
      <c r="C61" s="323"/>
      <c r="D61" s="323"/>
      <c r="E61" s="323"/>
      <c r="F61" s="323"/>
      <c r="G61" s="325"/>
      <c r="H61" s="325"/>
      <c r="I61" s="325"/>
      <c r="J61" s="325"/>
      <c r="K61" s="325"/>
      <c r="L61" s="325"/>
      <c r="M61" s="325"/>
      <c r="N61" s="325"/>
      <c r="O61" s="325"/>
      <c r="P61" s="325"/>
      <c r="Q61" s="325"/>
    </row>
    <row r="62" spans="3:17" x14ac:dyDescent="0.4">
      <c r="C62" s="323"/>
      <c r="D62" s="323"/>
      <c r="E62" s="323"/>
      <c r="F62" s="323"/>
      <c r="G62" s="325"/>
      <c r="H62" s="325"/>
      <c r="I62" s="325"/>
      <c r="J62" s="325"/>
      <c r="K62" s="325"/>
      <c r="L62" s="325"/>
      <c r="M62" s="325"/>
      <c r="N62" s="325"/>
      <c r="O62" s="325"/>
      <c r="P62" s="325"/>
      <c r="Q62" s="325"/>
    </row>
    <row r="63" spans="3:17" x14ac:dyDescent="0.4">
      <c r="C63" s="323"/>
      <c r="D63" s="323"/>
      <c r="E63" s="323"/>
      <c r="F63" s="323"/>
      <c r="G63" s="325"/>
      <c r="H63" s="325"/>
      <c r="I63" s="325"/>
      <c r="J63" s="325"/>
      <c r="K63" s="325"/>
      <c r="L63" s="325"/>
      <c r="M63" s="325"/>
      <c r="N63" s="325"/>
      <c r="O63" s="325"/>
      <c r="P63" s="325"/>
      <c r="Q63" s="325"/>
    </row>
    <row r="64" spans="3:17" x14ac:dyDescent="0.4">
      <c r="C64" s="323"/>
      <c r="D64" s="323"/>
      <c r="E64" s="323"/>
      <c r="F64" s="323"/>
      <c r="G64" s="325"/>
      <c r="H64" s="325"/>
      <c r="I64" s="325"/>
      <c r="J64" s="325"/>
      <c r="K64" s="325"/>
      <c r="L64" s="325"/>
      <c r="M64" s="325"/>
      <c r="N64" s="325"/>
      <c r="O64" s="325"/>
      <c r="P64" s="325"/>
      <c r="Q64" s="325"/>
    </row>
    <row r="65" spans="3:17" x14ac:dyDescent="0.4">
      <c r="C65" s="323"/>
      <c r="D65" s="323"/>
      <c r="E65" s="323"/>
      <c r="F65" s="323"/>
      <c r="G65" s="325"/>
      <c r="H65" s="325"/>
      <c r="I65" s="325"/>
      <c r="J65" s="325"/>
      <c r="K65" s="325"/>
      <c r="L65" s="325"/>
      <c r="M65" s="325"/>
      <c r="N65" s="325"/>
      <c r="O65" s="325"/>
      <c r="P65" s="325"/>
      <c r="Q65" s="325"/>
    </row>
    <row r="66" spans="3:17" x14ac:dyDescent="0.4">
      <c r="C66" s="323"/>
      <c r="D66" s="323"/>
      <c r="E66" s="323"/>
      <c r="F66" s="323"/>
      <c r="G66" s="325"/>
      <c r="H66" s="325"/>
      <c r="I66" s="325"/>
      <c r="J66" s="325"/>
      <c r="K66" s="325"/>
      <c r="L66" s="325"/>
      <c r="M66" s="325"/>
      <c r="N66" s="325"/>
      <c r="O66" s="325"/>
      <c r="P66" s="325"/>
      <c r="Q66" s="325"/>
    </row>
    <row r="67" spans="3:17" x14ac:dyDescent="0.4">
      <c r="C67" s="323"/>
      <c r="D67" s="323"/>
      <c r="E67" s="323"/>
      <c r="F67" s="323"/>
      <c r="G67" s="325"/>
      <c r="H67" s="325"/>
      <c r="I67" s="325"/>
      <c r="J67" s="325"/>
      <c r="K67" s="325"/>
      <c r="L67" s="325"/>
      <c r="M67" s="325"/>
      <c r="N67" s="325"/>
      <c r="O67" s="325"/>
      <c r="P67" s="325"/>
      <c r="Q67" s="325"/>
    </row>
    <row r="68" spans="3:17" x14ac:dyDescent="0.4">
      <c r="C68" s="323"/>
      <c r="D68" s="323"/>
      <c r="E68" s="323"/>
      <c r="F68" s="323"/>
      <c r="G68" s="325"/>
      <c r="H68" s="325"/>
      <c r="I68" s="325"/>
      <c r="J68" s="325"/>
      <c r="K68" s="325"/>
      <c r="L68" s="325"/>
      <c r="M68" s="325"/>
      <c r="N68" s="325"/>
      <c r="O68" s="325"/>
      <c r="P68" s="325"/>
      <c r="Q68" s="325"/>
    </row>
    <row r="69" spans="3:17" x14ac:dyDescent="0.4">
      <c r="C69" s="323"/>
      <c r="D69" s="323"/>
      <c r="E69" s="323"/>
      <c r="F69" s="323"/>
      <c r="G69" s="325"/>
      <c r="H69" s="325"/>
      <c r="I69" s="325"/>
      <c r="J69" s="325"/>
      <c r="K69" s="325"/>
      <c r="L69" s="325"/>
      <c r="M69" s="325"/>
      <c r="N69" s="325"/>
      <c r="O69" s="325"/>
      <c r="P69" s="325"/>
      <c r="Q69" s="325"/>
    </row>
    <row r="70" spans="3:17" x14ac:dyDescent="0.4">
      <c r="C70" s="323"/>
      <c r="D70" s="323"/>
      <c r="E70" s="323"/>
      <c r="F70" s="323"/>
      <c r="G70" s="325"/>
      <c r="H70" s="325"/>
      <c r="I70" s="325"/>
      <c r="J70" s="325"/>
      <c r="K70" s="325"/>
      <c r="L70" s="325"/>
      <c r="M70" s="325"/>
      <c r="N70" s="325"/>
      <c r="O70" s="325"/>
      <c r="P70" s="325"/>
      <c r="Q70" s="325"/>
    </row>
    <row r="71" spans="3:17" x14ac:dyDescent="0.4">
      <c r="C71" s="323"/>
      <c r="D71" s="323"/>
      <c r="E71" s="323"/>
      <c r="F71" s="323"/>
      <c r="G71" s="325"/>
      <c r="H71" s="325"/>
      <c r="I71" s="325"/>
      <c r="J71" s="325"/>
      <c r="K71" s="325"/>
      <c r="L71" s="325"/>
      <c r="M71" s="325"/>
      <c r="N71" s="325"/>
      <c r="O71" s="325"/>
      <c r="P71" s="325"/>
      <c r="Q71" s="325"/>
    </row>
    <row r="72" spans="3:17" x14ac:dyDescent="0.4">
      <c r="C72" s="323"/>
      <c r="D72" s="323"/>
      <c r="E72" s="323"/>
      <c r="F72" s="323"/>
      <c r="G72" s="325"/>
      <c r="H72" s="325"/>
      <c r="I72" s="325"/>
      <c r="J72" s="325"/>
      <c r="K72" s="325"/>
      <c r="L72" s="325"/>
      <c r="M72" s="325"/>
      <c r="N72" s="325"/>
      <c r="O72" s="325"/>
      <c r="P72" s="325"/>
      <c r="Q72" s="325"/>
    </row>
    <row r="73" spans="3:17" x14ac:dyDescent="0.4"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5"/>
      <c r="Q73" s="325"/>
    </row>
    <row r="74" spans="3:17" x14ac:dyDescent="0.4">
      <c r="C74" s="325"/>
      <c r="D74" s="325"/>
      <c r="E74" s="325"/>
      <c r="F74" s="325"/>
      <c r="G74" s="325"/>
      <c r="H74" s="325"/>
      <c r="I74" s="325"/>
      <c r="J74" s="325"/>
      <c r="K74" s="325"/>
      <c r="L74" s="325"/>
      <c r="M74" s="325"/>
      <c r="N74" s="325"/>
      <c r="O74" s="325"/>
      <c r="P74" s="325"/>
      <c r="Q74" s="325"/>
    </row>
    <row r="75" spans="3:17" x14ac:dyDescent="0.4"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5"/>
      <c r="Q75" s="325"/>
    </row>
    <row r="76" spans="3:17" x14ac:dyDescent="0.4">
      <c r="C76" s="323"/>
      <c r="D76" s="324"/>
      <c r="E76" s="324"/>
      <c r="F76" s="324"/>
      <c r="G76" s="324"/>
      <c r="H76" s="324"/>
      <c r="I76" s="324"/>
      <c r="J76" s="324"/>
      <c r="K76" s="324"/>
      <c r="L76" s="324"/>
      <c r="M76" s="324"/>
      <c r="N76" s="324"/>
      <c r="O76" s="324"/>
      <c r="P76" s="324"/>
      <c r="Q76" s="324"/>
    </row>
    <row r="77" spans="3:17" x14ac:dyDescent="0.4">
      <c r="C77" s="323"/>
      <c r="D77" s="324"/>
      <c r="E77" s="324"/>
      <c r="F77" s="324"/>
      <c r="G77" s="325"/>
      <c r="H77" s="325"/>
      <c r="I77" s="325"/>
      <c r="J77" s="325"/>
      <c r="K77" s="325"/>
      <c r="L77" s="325"/>
      <c r="M77" s="325"/>
      <c r="N77" s="325"/>
      <c r="O77" s="325"/>
      <c r="P77" s="325"/>
      <c r="Q77" s="325"/>
    </row>
    <row r="78" spans="3:17" x14ac:dyDescent="0.4">
      <c r="C78" s="324"/>
      <c r="D78" s="324"/>
      <c r="E78" s="324"/>
      <c r="F78" s="324"/>
      <c r="G78" s="325"/>
      <c r="H78" s="325"/>
      <c r="I78" s="325"/>
      <c r="J78" s="325"/>
      <c r="K78" s="325"/>
      <c r="L78" s="325"/>
      <c r="M78" s="325"/>
      <c r="N78" s="325"/>
      <c r="O78" s="325"/>
      <c r="P78" s="325"/>
      <c r="Q78" s="325"/>
    </row>
    <row r="79" spans="3:17" x14ac:dyDescent="0.4">
      <c r="C79" s="324"/>
      <c r="D79" s="324"/>
      <c r="E79" s="324"/>
      <c r="F79" s="324"/>
      <c r="G79" s="325"/>
      <c r="H79" s="325"/>
      <c r="I79" s="325"/>
      <c r="J79" s="325"/>
      <c r="K79" s="325"/>
      <c r="L79" s="325"/>
      <c r="M79" s="325"/>
      <c r="N79" s="325"/>
      <c r="O79" s="325"/>
      <c r="P79" s="325"/>
      <c r="Q79" s="325"/>
    </row>
    <row r="80" spans="3:17" x14ac:dyDescent="0.4">
      <c r="C80" s="324"/>
      <c r="D80" s="324"/>
      <c r="E80" s="324"/>
      <c r="F80" s="324"/>
      <c r="G80" s="325"/>
      <c r="H80" s="325"/>
      <c r="I80" s="325"/>
      <c r="J80" s="325"/>
      <c r="K80" s="325"/>
      <c r="L80" s="325"/>
      <c r="M80" s="325"/>
      <c r="N80" s="325"/>
      <c r="O80" s="325"/>
      <c r="P80" s="325"/>
      <c r="Q80" s="325"/>
    </row>
    <row r="81" spans="3:17" x14ac:dyDescent="0.4">
      <c r="C81" s="324"/>
      <c r="D81" s="324"/>
      <c r="E81" s="324"/>
      <c r="F81" s="324"/>
      <c r="G81" s="325"/>
      <c r="H81" s="325"/>
      <c r="I81" s="325"/>
      <c r="J81" s="325"/>
      <c r="K81" s="325"/>
      <c r="L81" s="325"/>
      <c r="M81" s="325"/>
      <c r="N81" s="325"/>
      <c r="O81" s="325"/>
      <c r="P81" s="325"/>
      <c r="Q81" s="325"/>
    </row>
    <row r="82" spans="3:17" x14ac:dyDescent="0.4">
      <c r="C82" s="324"/>
      <c r="D82" s="324"/>
      <c r="E82" s="324"/>
      <c r="F82" s="324"/>
      <c r="G82" s="325"/>
      <c r="H82" s="325"/>
      <c r="I82" s="325"/>
      <c r="J82" s="325"/>
      <c r="K82" s="325"/>
      <c r="L82" s="325"/>
      <c r="M82" s="325"/>
      <c r="N82" s="325"/>
      <c r="O82" s="325"/>
      <c r="P82" s="325"/>
      <c r="Q82" s="325"/>
    </row>
    <row r="83" spans="3:17" x14ac:dyDescent="0.4">
      <c r="C83" s="324"/>
      <c r="D83" s="324"/>
      <c r="E83" s="324"/>
      <c r="F83" s="324"/>
      <c r="G83" s="325"/>
      <c r="H83" s="325"/>
      <c r="I83" s="325"/>
      <c r="J83" s="325"/>
      <c r="K83" s="325"/>
      <c r="L83" s="325"/>
      <c r="M83" s="325"/>
      <c r="N83" s="325"/>
      <c r="O83" s="325"/>
      <c r="P83" s="325"/>
      <c r="Q83" s="325"/>
    </row>
    <row r="84" spans="3:17" x14ac:dyDescent="0.4">
      <c r="C84" s="324"/>
      <c r="D84" s="324"/>
      <c r="E84" s="324"/>
      <c r="F84" s="324"/>
      <c r="G84" s="325"/>
      <c r="H84" s="325"/>
      <c r="I84" s="325"/>
      <c r="J84" s="325"/>
      <c r="K84" s="325"/>
      <c r="L84" s="325"/>
      <c r="M84" s="325"/>
      <c r="N84" s="325"/>
      <c r="O84" s="325"/>
      <c r="P84" s="325"/>
      <c r="Q84" s="325"/>
    </row>
    <row r="85" spans="3:17" x14ac:dyDescent="0.4">
      <c r="C85" s="324"/>
      <c r="D85" s="324"/>
      <c r="E85" s="324"/>
      <c r="F85" s="324"/>
      <c r="G85" s="325"/>
      <c r="H85" s="325"/>
      <c r="I85" s="325"/>
      <c r="J85" s="325"/>
      <c r="K85" s="325"/>
      <c r="L85" s="325"/>
      <c r="M85" s="325"/>
      <c r="N85" s="325"/>
      <c r="O85" s="325"/>
      <c r="P85" s="325"/>
      <c r="Q85" s="325"/>
    </row>
    <row r="86" spans="3:17" x14ac:dyDescent="0.4">
      <c r="C86" s="323"/>
      <c r="D86" s="323"/>
      <c r="E86" s="323"/>
      <c r="F86" s="323"/>
      <c r="G86" s="325"/>
      <c r="H86" s="325"/>
      <c r="I86" s="325"/>
      <c r="J86" s="325"/>
      <c r="K86" s="325"/>
      <c r="L86" s="325"/>
      <c r="M86" s="325"/>
      <c r="N86" s="325"/>
      <c r="O86" s="325"/>
      <c r="P86" s="325"/>
      <c r="Q86" s="325"/>
    </row>
    <row r="87" spans="3:17" x14ac:dyDescent="0.4">
      <c r="C87" s="323"/>
      <c r="D87" s="323"/>
      <c r="E87" s="323"/>
      <c r="F87" s="323"/>
      <c r="G87" s="325"/>
      <c r="H87" s="325"/>
      <c r="I87" s="325"/>
      <c r="J87" s="325"/>
      <c r="K87" s="325"/>
      <c r="L87" s="325"/>
      <c r="M87" s="325"/>
      <c r="N87" s="325"/>
      <c r="O87" s="325"/>
      <c r="P87" s="325"/>
      <c r="Q87" s="325"/>
    </row>
    <row r="88" spans="3:17" x14ac:dyDescent="0.4">
      <c r="C88" s="323"/>
      <c r="D88" s="323"/>
      <c r="E88" s="323"/>
      <c r="F88" s="323"/>
      <c r="G88" s="325"/>
      <c r="H88" s="325"/>
      <c r="I88" s="325"/>
      <c r="J88" s="325"/>
      <c r="K88" s="325"/>
      <c r="L88" s="325"/>
      <c r="M88" s="325"/>
      <c r="N88" s="325"/>
      <c r="O88" s="325"/>
      <c r="P88" s="325"/>
      <c r="Q88" s="325"/>
    </row>
    <row r="89" spans="3:17" x14ac:dyDescent="0.4">
      <c r="C89" s="323"/>
      <c r="D89" s="323"/>
      <c r="E89" s="323"/>
      <c r="F89" s="323"/>
      <c r="G89" s="325"/>
      <c r="H89" s="325"/>
      <c r="I89" s="325"/>
      <c r="J89" s="325"/>
      <c r="K89" s="325"/>
      <c r="L89" s="325"/>
      <c r="M89" s="325"/>
      <c r="N89" s="325"/>
      <c r="O89" s="325"/>
      <c r="P89" s="325"/>
      <c r="Q89" s="325"/>
    </row>
    <row r="90" spans="3:17" x14ac:dyDescent="0.4">
      <c r="C90" s="323"/>
      <c r="D90" s="323"/>
      <c r="E90" s="323"/>
      <c r="F90" s="323"/>
      <c r="G90" s="325"/>
      <c r="H90" s="325"/>
      <c r="I90" s="325"/>
      <c r="J90" s="325"/>
      <c r="K90" s="325"/>
      <c r="L90" s="325"/>
      <c r="M90" s="325"/>
      <c r="N90" s="325"/>
      <c r="O90" s="325"/>
      <c r="P90" s="325"/>
      <c r="Q90" s="325"/>
    </row>
  </sheetData>
  <mergeCells count="102">
    <mergeCell ref="C30:D31"/>
    <mergeCell ref="E30:I31"/>
    <mergeCell ref="K30:P30"/>
    <mergeCell ref="Q30:R30"/>
    <mergeCell ref="K31:P31"/>
    <mergeCell ref="Q31:R31"/>
    <mergeCell ref="C23:D29"/>
    <mergeCell ref="E23:I29"/>
    <mergeCell ref="K23:P23"/>
    <mergeCell ref="Q23:R23"/>
    <mergeCell ref="K24:P24"/>
    <mergeCell ref="Q24:R24"/>
    <mergeCell ref="K25:P25"/>
    <mergeCell ref="Q25:R25"/>
    <mergeCell ref="K26:P26"/>
    <mergeCell ref="Q26:R26"/>
    <mergeCell ref="K27:P27"/>
    <mergeCell ref="Q27:R27"/>
    <mergeCell ref="K28:P28"/>
    <mergeCell ref="Q28:R28"/>
    <mergeCell ref="K29:P29"/>
    <mergeCell ref="Q29:R29"/>
    <mergeCell ref="C19:D22"/>
    <mergeCell ref="E19:I22"/>
    <mergeCell ref="K19:P19"/>
    <mergeCell ref="Q19:R19"/>
    <mergeCell ref="K20:P20"/>
    <mergeCell ref="Q20:R20"/>
    <mergeCell ref="K21:P21"/>
    <mergeCell ref="Q21:R21"/>
    <mergeCell ref="K22:P22"/>
    <mergeCell ref="Q22:R22"/>
    <mergeCell ref="C14:D18"/>
    <mergeCell ref="E14:I18"/>
    <mergeCell ref="K14:P14"/>
    <mergeCell ref="Q14:R14"/>
    <mergeCell ref="K15:P15"/>
    <mergeCell ref="Q15:R15"/>
    <mergeCell ref="K16:P16"/>
    <mergeCell ref="Q16:R16"/>
    <mergeCell ref="K17:P17"/>
    <mergeCell ref="Q17:R17"/>
    <mergeCell ref="K18:P18"/>
    <mergeCell ref="Q18:R18"/>
    <mergeCell ref="C9:D13"/>
    <mergeCell ref="E9:I13"/>
    <mergeCell ref="K9:P9"/>
    <mergeCell ref="Q9:R9"/>
    <mergeCell ref="K10:P10"/>
    <mergeCell ref="Q10:R10"/>
    <mergeCell ref="K11:P11"/>
    <mergeCell ref="Q11:R11"/>
    <mergeCell ref="K12:P12"/>
    <mergeCell ref="Q12:R12"/>
    <mergeCell ref="K13:P13"/>
    <mergeCell ref="Q13:R13"/>
    <mergeCell ref="C3:D3"/>
    <mergeCell ref="E3:I3"/>
    <mergeCell ref="J3:P3"/>
    <mergeCell ref="Q3:R3"/>
    <mergeCell ref="C4:D8"/>
    <mergeCell ref="E4:I8"/>
    <mergeCell ref="K4:P4"/>
    <mergeCell ref="Q4:R4"/>
    <mergeCell ref="J5:J6"/>
    <mergeCell ref="K5:P5"/>
    <mergeCell ref="Q5:R6"/>
    <mergeCell ref="K6:P6"/>
    <mergeCell ref="K7:P7"/>
    <mergeCell ref="Q7:R7"/>
    <mergeCell ref="K8:P8"/>
    <mergeCell ref="Q8:R8"/>
    <mergeCell ref="T9:U9"/>
    <mergeCell ref="T10:U10"/>
    <mergeCell ref="T11:U11"/>
    <mergeCell ref="T12:U12"/>
    <mergeCell ref="Y9:Z9"/>
    <mergeCell ref="Y10:Z10"/>
    <mergeCell ref="Y11:Z11"/>
    <mergeCell ref="Y12:Z12"/>
    <mergeCell ref="V10:X10"/>
    <mergeCell ref="T3:U3"/>
    <mergeCell ref="T4:U4"/>
    <mergeCell ref="T5:U5"/>
    <mergeCell ref="T6:U6"/>
    <mergeCell ref="T7:U7"/>
    <mergeCell ref="T8:U8"/>
    <mergeCell ref="Y3:Z3"/>
    <mergeCell ref="Y4:Z4"/>
    <mergeCell ref="Y5:Z5"/>
    <mergeCell ref="Y6:Z6"/>
    <mergeCell ref="Y7:Z7"/>
    <mergeCell ref="Y8:Z8"/>
    <mergeCell ref="V9:X9"/>
    <mergeCell ref="V11:X11"/>
    <mergeCell ref="V12:X12"/>
    <mergeCell ref="V3:X3"/>
    <mergeCell ref="V4:X4"/>
    <mergeCell ref="V5:X5"/>
    <mergeCell ref="V6:X6"/>
    <mergeCell ref="V7:X7"/>
    <mergeCell ref="V8:X8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24D98-C439-48E7-8101-D80B91A438C5}">
  <dimension ref="A1:AL66"/>
  <sheetViews>
    <sheetView topLeftCell="P15" zoomScale="107" zoomScaleNormal="55" workbookViewId="0">
      <selection activeCell="AC55" sqref="AC55"/>
    </sheetView>
  </sheetViews>
  <sheetFormatPr defaultRowHeight="17.399999999999999" x14ac:dyDescent="0.4"/>
  <sheetData>
    <row r="1" spans="1:26" x14ac:dyDescent="0.4">
      <c r="M1" s="36"/>
      <c r="O1" s="36"/>
      <c r="Q1" s="36"/>
    </row>
    <row r="2" spans="1:26" ht="18" thickBot="1" x14ac:dyDescent="0.45"/>
    <row r="3" spans="1:26" ht="18" thickBot="1" x14ac:dyDescent="0.45">
      <c r="B3" s="161" t="s">
        <v>367</v>
      </c>
      <c r="C3" s="245"/>
      <c r="D3" s="200" t="s">
        <v>368</v>
      </c>
      <c r="E3" s="201"/>
      <c r="F3" s="201"/>
      <c r="G3" s="201"/>
      <c r="H3" s="242" t="s">
        <v>369</v>
      </c>
      <c r="I3" s="201"/>
      <c r="J3" s="201"/>
      <c r="K3" s="254"/>
      <c r="L3" s="203" t="s">
        <v>370</v>
      </c>
      <c r="M3" s="203"/>
      <c r="N3" s="203"/>
      <c r="O3" s="202"/>
      <c r="P3" s="200" t="s">
        <v>375</v>
      </c>
      <c r="Q3" s="203"/>
      <c r="R3" s="203"/>
      <c r="S3" s="203"/>
      <c r="T3" s="203"/>
      <c r="U3" s="203"/>
      <c r="V3" s="203"/>
      <c r="W3" s="203"/>
      <c r="X3" s="203"/>
      <c r="Y3" s="242" t="s">
        <v>434</v>
      </c>
      <c r="Z3" s="204"/>
    </row>
    <row r="4" spans="1:26" x14ac:dyDescent="0.4">
      <c r="C4" s="7"/>
      <c r="D4" s="152" t="s">
        <v>371</v>
      </c>
      <c r="E4" s="144"/>
      <c r="F4" s="144"/>
      <c r="G4" s="144"/>
      <c r="H4" s="143" t="s">
        <v>371</v>
      </c>
      <c r="I4" s="144"/>
      <c r="J4" s="144"/>
      <c r="K4" s="149"/>
      <c r="L4" s="144" t="s">
        <v>371</v>
      </c>
      <c r="M4" s="144"/>
      <c r="N4" s="144"/>
      <c r="O4" s="144"/>
      <c r="P4" s="239" t="s">
        <v>376</v>
      </c>
      <c r="Q4" s="240"/>
      <c r="R4" s="240"/>
      <c r="S4" s="240"/>
      <c r="T4" s="240"/>
      <c r="U4" s="240"/>
      <c r="V4" s="240"/>
      <c r="W4" s="240"/>
      <c r="X4" s="240"/>
      <c r="Y4" s="240"/>
      <c r="Z4" s="241"/>
    </row>
    <row r="5" spans="1:26" x14ac:dyDescent="0.4">
      <c r="C5" s="7"/>
      <c r="D5" s="249" t="s">
        <v>373</v>
      </c>
      <c r="E5" s="250"/>
      <c r="F5" s="250"/>
      <c r="G5" s="250"/>
      <c r="H5" s="251" t="s">
        <v>414</v>
      </c>
      <c r="I5" s="251"/>
      <c r="J5" s="251"/>
      <c r="K5" s="251"/>
      <c r="L5" s="252" t="s">
        <v>373</v>
      </c>
      <c r="M5" s="250"/>
      <c r="N5" s="250"/>
      <c r="O5" s="253"/>
      <c r="P5" s="260" t="s">
        <v>422</v>
      </c>
      <c r="Q5" s="251"/>
      <c r="R5" s="251"/>
      <c r="S5" s="251"/>
      <c r="T5" s="251"/>
      <c r="U5" s="251"/>
      <c r="V5" s="251"/>
      <c r="W5" s="251"/>
      <c r="X5" s="251"/>
      <c r="Y5" s="251"/>
      <c r="Z5" s="262"/>
    </row>
    <row r="6" spans="1:26" x14ac:dyDescent="0.4">
      <c r="D6" s="243" t="s">
        <v>415</v>
      </c>
      <c r="E6" s="244"/>
      <c r="F6" s="244"/>
      <c r="G6" s="244"/>
      <c r="H6" s="244"/>
      <c r="I6" s="244"/>
      <c r="J6" s="244"/>
      <c r="K6" s="244"/>
      <c r="L6" s="88"/>
      <c r="M6" s="244"/>
      <c r="N6" s="244"/>
      <c r="O6" s="91"/>
      <c r="P6" s="243" t="s">
        <v>433</v>
      </c>
      <c r="Q6" s="244"/>
      <c r="R6" s="244"/>
      <c r="S6" s="244"/>
      <c r="T6" s="244"/>
      <c r="U6" s="244"/>
      <c r="V6" s="244"/>
      <c r="W6" s="244"/>
      <c r="X6" s="244"/>
      <c r="Y6" s="269" t="s">
        <v>448</v>
      </c>
      <c r="Z6" s="263"/>
    </row>
    <row r="7" spans="1:26" x14ac:dyDescent="0.4">
      <c r="D7" s="264"/>
      <c r="E7" s="265"/>
      <c r="F7" s="265"/>
      <c r="G7" s="266"/>
      <c r="H7" s="261" t="s">
        <v>372</v>
      </c>
      <c r="I7" s="265"/>
      <c r="J7" s="265"/>
      <c r="K7" s="266"/>
      <c r="L7" s="261"/>
      <c r="M7" s="265"/>
      <c r="N7" s="265"/>
      <c r="O7" s="265"/>
      <c r="P7" s="264" t="s">
        <v>423</v>
      </c>
      <c r="Q7" s="265"/>
      <c r="R7" s="265"/>
      <c r="S7" s="265"/>
      <c r="T7" s="265"/>
      <c r="U7" s="265"/>
      <c r="V7" s="265"/>
      <c r="W7" s="265"/>
      <c r="X7" s="266"/>
      <c r="Y7" s="271" t="s">
        <v>435</v>
      </c>
      <c r="Z7" s="272"/>
    </row>
    <row r="8" spans="1:26" ht="18" customHeight="1" x14ac:dyDescent="0.4">
      <c r="D8" s="87" t="s">
        <v>416</v>
      </c>
      <c r="E8" s="93"/>
      <c r="F8" s="93"/>
      <c r="G8" s="88"/>
      <c r="H8" s="91"/>
      <c r="I8" s="93"/>
      <c r="J8" s="93"/>
      <c r="K8" s="88"/>
      <c r="L8" s="91"/>
      <c r="M8" s="93"/>
      <c r="N8" s="93"/>
      <c r="O8" s="93"/>
      <c r="P8" s="243" t="s">
        <v>432</v>
      </c>
      <c r="Q8" s="244"/>
      <c r="R8" s="244"/>
      <c r="S8" s="244"/>
      <c r="T8" s="244"/>
      <c r="U8" s="244"/>
      <c r="V8" s="244"/>
      <c r="W8" s="244"/>
      <c r="X8" s="244"/>
      <c r="Y8" s="269" t="s">
        <v>319</v>
      </c>
      <c r="Z8" s="263"/>
    </row>
    <row r="9" spans="1:26" x14ac:dyDescent="0.4">
      <c r="D9" s="260"/>
      <c r="E9" s="251"/>
      <c r="F9" s="251"/>
      <c r="G9" s="251"/>
      <c r="H9" s="251" t="s">
        <v>417</v>
      </c>
      <c r="I9" s="251"/>
      <c r="J9" s="251"/>
      <c r="K9" s="251"/>
      <c r="L9" s="251"/>
      <c r="M9" s="251"/>
      <c r="N9" s="251"/>
      <c r="O9" s="261"/>
      <c r="P9" s="260" t="s">
        <v>424</v>
      </c>
      <c r="Q9" s="251"/>
      <c r="R9" s="251"/>
      <c r="S9" s="251"/>
      <c r="T9" s="251"/>
      <c r="U9" s="251"/>
      <c r="V9" s="251"/>
      <c r="W9" s="251"/>
      <c r="X9" s="251"/>
      <c r="Y9" s="251"/>
      <c r="Z9" s="262"/>
    </row>
    <row r="10" spans="1:26" x14ac:dyDescent="0.4">
      <c r="A10" s="11"/>
      <c r="D10" s="243"/>
      <c r="E10" s="244"/>
      <c r="F10" s="244"/>
      <c r="G10" s="244"/>
      <c r="H10" s="244"/>
      <c r="I10" s="244"/>
      <c r="J10" s="244"/>
      <c r="K10" s="244"/>
      <c r="L10" s="91" t="s">
        <v>418</v>
      </c>
      <c r="M10" s="93"/>
      <c r="N10" s="93"/>
      <c r="O10" s="93"/>
      <c r="P10" s="243" t="s">
        <v>425</v>
      </c>
      <c r="Q10" s="244"/>
      <c r="R10" s="244"/>
      <c r="S10" s="244"/>
      <c r="T10" s="244"/>
      <c r="U10" s="244"/>
      <c r="V10" s="244"/>
      <c r="W10" s="244"/>
      <c r="X10" s="244"/>
      <c r="Y10" s="244"/>
      <c r="Z10" s="263"/>
    </row>
    <row r="11" spans="1:26" x14ac:dyDescent="0.4">
      <c r="D11" s="260"/>
      <c r="E11" s="251"/>
      <c r="F11" s="251"/>
      <c r="G11" s="251"/>
      <c r="H11" s="251" t="s">
        <v>419</v>
      </c>
      <c r="I11" s="251"/>
      <c r="J11" s="251"/>
      <c r="K11" s="251"/>
      <c r="L11" s="251"/>
      <c r="M11" s="251"/>
      <c r="N11" s="251"/>
      <c r="O11" s="261"/>
      <c r="P11" s="260" t="s">
        <v>426</v>
      </c>
      <c r="Q11" s="251"/>
      <c r="R11" s="251"/>
      <c r="S11" s="251"/>
      <c r="T11" s="251"/>
      <c r="U11" s="251"/>
      <c r="V11" s="251"/>
      <c r="W11" s="251"/>
      <c r="X11" s="251"/>
      <c r="Y11" s="270" t="s">
        <v>319</v>
      </c>
      <c r="Z11" s="262"/>
    </row>
    <row r="12" spans="1:26" x14ac:dyDescent="0.4">
      <c r="D12" s="243" t="s">
        <v>416</v>
      </c>
      <c r="E12" s="244"/>
      <c r="F12" s="244"/>
      <c r="G12" s="244"/>
      <c r="H12" s="244"/>
      <c r="I12" s="244"/>
      <c r="J12" s="244"/>
      <c r="K12" s="244"/>
      <c r="L12" s="244"/>
      <c r="M12" s="244"/>
      <c r="N12" s="244"/>
      <c r="O12" s="91"/>
      <c r="P12" s="243" t="s">
        <v>427</v>
      </c>
      <c r="Q12" s="244"/>
      <c r="R12" s="244"/>
      <c r="S12" s="244"/>
      <c r="T12" s="244"/>
      <c r="U12" s="244"/>
      <c r="V12" s="244"/>
      <c r="W12" s="244"/>
      <c r="X12" s="244"/>
      <c r="Y12" s="269" t="s">
        <v>320</v>
      </c>
      <c r="Z12" s="263"/>
    </row>
    <row r="13" spans="1:26" x14ac:dyDescent="0.4">
      <c r="D13" s="260"/>
      <c r="E13" s="251"/>
      <c r="F13" s="251"/>
      <c r="G13" s="251"/>
      <c r="H13" s="251" t="s">
        <v>417</v>
      </c>
      <c r="I13" s="251"/>
      <c r="J13" s="251"/>
      <c r="K13" s="251"/>
      <c r="L13" s="251"/>
      <c r="M13" s="251"/>
      <c r="N13" s="251"/>
      <c r="O13" s="261"/>
      <c r="P13" s="260" t="s">
        <v>428</v>
      </c>
      <c r="Q13" s="251"/>
      <c r="R13" s="251"/>
      <c r="S13" s="251"/>
      <c r="T13" s="251"/>
      <c r="U13" s="251"/>
      <c r="V13" s="251"/>
      <c r="W13" s="251"/>
      <c r="X13" s="251"/>
      <c r="Y13" s="251"/>
      <c r="Z13" s="262"/>
    </row>
    <row r="14" spans="1:26" x14ac:dyDescent="0.4">
      <c r="D14" s="243"/>
      <c r="E14" s="244"/>
      <c r="F14" s="244"/>
      <c r="G14" s="244"/>
      <c r="H14" s="244"/>
      <c r="I14" s="244"/>
      <c r="J14" s="244"/>
      <c r="K14" s="244"/>
      <c r="L14" s="91" t="s">
        <v>418</v>
      </c>
      <c r="M14" s="93"/>
      <c r="N14" s="93"/>
      <c r="O14" s="93"/>
      <c r="P14" s="243" t="s">
        <v>425</v>
      </c>
      <c r="Q14" s="244"/>
      <c r="R14" s="244"/>
      <c r="S14" s="244"/>
      <c r="T14" s="244"/>
      <c r="U14" s="244"/>
      <c r="V14" s="244"/>
      <c r="W14" s="244"/>
      <c r="X14" s="244"/>
      <c r="Y14" s="244"/>
      <c r="Z14" s="263"/>
    </row>
    <row r="15" spans="1:26" x14ac:dyDescent="0.4">
      <c r="D15" s="260"/>
      <c r="E15" s="251"/>
      <c r="F15" s="251"/>
      <c r="G15" s="251"/>
      <c r="H15" s="251" t="s">
        <v>420</v>
      </c>
      <c r="I15" s="251"/>
      <c r="J15" s="251"/>
      <c r="K15" s="251"/>
      <c r="L15" s="251"/>
      <c r="M15" s="251"/>
      <c r="N15" s="251"/>
      <c r="O15" s="261"/>
      <c r="P15" s="260" t="s">
        <v>429</v>
      </c>
      <c r="Q15" s="251"/>
      <c r="R15" s="251"/>
      <c r="S15" s="251"/>
      <c r="T15" s="251"/>
      <c r="U15" s="251"/>
      <c r="V15" s="251"/>
      <c r="W15" s="251"/>
      <c r="X15" s="251"/>
      <c r="Y15" s="270" t="s">
        <v>320</v>
      </c>
      <c r="Z15" s="262"/>
    </row>
    <row r="16" spans="1:26" x14ac:dyDescent="0.4">
      <c r="D16" s="87" t="s">
        <v>421</v>
      </c>
      <c r="E16" s="93"/>
      <c r="F16" s="93"/>
      <c r="G16" s="88"/>
      <c r="H16" s="244"/>
      <c r="I16" s="244"/>
      <c r="J16" s="244"/>
      <c r="K16" s="244"/>
      <c r="L16" s="244"/>
      <c r="M16" s="244"/>
      <c r="N16" s="244"/>
      <c r="O16" s="91"/>
      <c r="P16" s="243" t="s">
        <v>430</v>
      </c>
      <c r="Q16" s="244"/>
      <c r="R16" s="244"/>
      <c r="S16" s="244"/>
      <c r="T16" s="244"/>
      <c r="U16" s="244"/>
      <c r="V16" s="244"/>
      <c r="W16" s="244"/>
      <c r="X16" s="244"/>
      <c r="Y16" s="269" t="s">
        <v>324</v>
      </c>
      <c r="Z16" s="263"/>
    </row>
    <row r="17" spans="2:36" ht="18" thickBot="1" x14ac:dyDescent="0.45">
      <c r="D17" s="257"/>
      <c r="E17" s="258"/>
      <c r="F17" s="258"/>
      <c r="G17" s="259"/>
      <c r="H17" s="255" t="s">
        <v>374</v>
      </c>
      <c r="I17" s="255"/>
      <c r="J17" s="255"/>
      <c r="K17" s="255"/>
      <c r="L17" s="255"/>
      <c r="M17" s="255"/>
      <c r="N17" s="255"/>
      <c r="O17" s="256"/>
      <c r="P17" s="267" t="s">
        <v>431</v>
      </c>
      <c r="Q17" s="255"/>
      <c r="R17" s="255"/>
      <c r="S17" s="255"/>
      <c r="T17" s="255"/>
      <c r="U17" s="255"/>
      <c r="V17" s="255"/>
      <c r="W17" s="255"/>
      <c r="X17" s="255"/>
      <c r="Y17" s="255"/>
      <c r="Z17" s="268"/>
    </row>
    <row r="20" spans="2:36" x14ac:dyDescent="0.4">
      <c r="I20" t="s">
        <v>269</v>
      </c>
    </row>
    <row r="22" spans="2:36" ht="18" thickBot="1" x14ac:dyDescent="0.45"/>
    <row r="23" spans="2:36" ht="18" thickBot="1" x14ac:dyDescent="0.45">
      <c r="B23" s="161" t="s">
        <v>294</v>
      </c>
      <c r="C23" s="190"/>
      <c r="D23" s="205" t="s">
        <v>389</v>
      </c>
      <c r="E23" s="112"/>
    </row>
    <row r="24" spans="2:36" ht="18" thickBot="1" x14ac:dyDescent="0.45">
      <c r="B24" s="161" t="s">
        <v>295</v>
      </c>
      <c r="C24" s="190"/>
      <c r="D24" s="205" t="s">
        <v>296</v>
      </c>
      <c r="E24" s="112"/>
    </row>
    <row r="25" spans="2:36" ht="18" thickBot="1" x14ac:dyDescent="0.45"/>
    <row r="26" spans="2:36" ht="18" thickBot="1" x14ac:dyDescent="0.45">
      <c r="B26" s="161" t="s">
        <v>390</v>
      </c>
      <c r="C26" s="216"/>
      <c r="D26" s="245"/>
      <c r="E26" s="245"/>
      <c r="F26" s="245"/>
      <c r="G26" s="246"/>
      <c r="U26" s="26"/>
      <c r="V26" s="114" t="s">
        <v>313</v>
      </c>
      <c r="W26" s="248"/>
    </row>
    <row r="27" spans="2:36" ht="18" thickBot="1" x14ac:dyDescent="0.45">
      <c r="B27" s="161" t="s">
        <v>388</v>
      </c>
      <c r="C27" s="190"/>
      <c r="D27" s="247">
        <v>0</v>
      </c>
      <c r="E27" s="202"/>
      <c r="F27" s="247">
        <v>1</v>
      </c>
      <c r="G27" s="202"/>
      <c r="H27" s="247">
        <v>2</v>
      </c>
      <c r="I27" s="202"/>
      <c r="J27" s="247">
        <v>3</v>
      </c>
      <c r="K27" s="202"/>
      <c r="U27" s="45"/>
      <c r="V27" s="114" t="s">
        <v>314</v>
      </c>
      <c r="W27" s="248"/>
    </row>
    <row r="28" spans="2:36" ht="18" thickBot="1" x14ac:dyDescent="0.45">
      <c r="B28" s="212" t="s">
        <v>307</v>
      </c>
      <c r="C28" s="237"/>
      <c r="D28" s="205" t="s">
        <v>391</v>
      </c>
      <c r="E28" s="112"/>
      <c r="F28" s="205" t="s">
        <v>297</v>
      </c>
      <c r="G28" s="112"/>
      <c r="H28" s="205" t="s">
        <v>299</v>
      </c>
      <c r="I28" s="238"/>
      <c r="J28" s="205" t="s">
        <v>298</v>
      </c>
      <c r="K28" s="238"/>
    </row>
    <row r="29" spans="2:36" ht="18" thickBot="1" x14ac:dyDescent="0.45"/>
    <row r="30" spans="2:36" ht="18" thickBot="1" x14ac:dyDescent="0.45">
      <c r="B30" s="161" t="s">
        <v>300</v>
      </c>
      <c r="C30" s="190"/>
      <c r="D30" s="200" t="s">
        <v>301</v>
      </c>
      <c r="E30" s="201"/>
      <c r="F30" s="200" t="s">
        <v>302</v>
      </c>
      <c r="G30" s="202"/>
      <c r="H30" s="203" t="s">
        <v>307</v>
      </c>
      <c r="I30" s="203"/>
      <c r="J30" s="203"/>
      <c r="K30" s="201"/>
      <c r="L30" s="200" t="s">
        <v>312</v>
      </c>
      <c r="M30" s="203"/>
      <c r="N30" s="203"/>
      <c r="O30" s="203"/>
      <c r="P30" s="203"/>
      <c r="Q30" s="204"/>
      <c r="W30" s="200" t="s">
        <v>315</v>
      </c>
      <c r="X30" s="204"/>
      <c r="AC30" s="156"/>
      <c r="AD30" s="156"/>
      <c r="AG30" s="200" t="s">
        <v>316</v>
      </c>
      <c r="AH30" s="204"/>
    </row>
    <row r="31" spans="2:36" x14ac:dyDescent="0.4">
      <c r="D31" s="113">
        <v>0</v>
      </c>
      <c r="E31" s="109"/>
      <c r="F31" s="113" t="s">
        <v>303</v>
      </c>
      <c r="G31" s="109"/>
      <c r="H31" s="113" t="s">
        <v>308</v>
      </c>
      <c r="I31" s="108"/>
      <c r="J31" s="108"/>
      <c r="K31" s="108"/>
      <c r="L31" s="232" t="s">
        <v>313</v>
      </c>
      <c r="M31" s="41" t="s">
        <v>315</v>
      </c>
      <c r="N31" s="43" t="s">
        <v>317</v>
      </c>
      <c r="O31" s="234" t="s">
        <v>314</v>
      </c>
      <c r="P31" s="34" t="s">
        <v>315</v>
      </c>
      <c r="Q31" s="44" t="s">
        <v>320</v>
      </c>
      <c r="T31" s="222">
        <v>3</v>
      </c>
      <c r="U31" s="228" t="s">
        <v>339</v>
      </c>
      <c r="V31" s="230" t="s">
        <v>357</v>
      </c>
      <c r="W31" s="228" t="s">
        <v>338</v>
      </c>
      <c r="X31" s="230" t="s">
        <v>356</v>
      </c>
      <c r="Y31" s="228" t="s">
        <v>337</v>
      </c>
      <c r="Z31" s="230" t="s">
        <v>355</v>
      </c>
      <c r="AD31" s="222">
        <v>3</v>
      </c>
      <c r="AE31" s="228" t="s">
        <v>348</v>
      </c>
      <c r="AF31" s="230" t="s">
        <v>366</v>
      </c>
      <c r="AG31" s="228" t="s">
        <v>347</v>
      </c>
      <c r="AH31" s="230" t="s">
        <v>365</v>
      </c>
      <c r="AI31" s="228" t="s">
        <v>346</v>
      </c>
      <c r="AJ31" s="230" t="s">
        <v>364</v>
      </c>
    </row>
    <row r="32" spans="2:36" ht="18" thickBot="1" x14ac:dyDescent="0.45">
      <c r="D32" s="106"/>
      <c r="E32" s="84"/>
      <c r="F32" s="106" t="s">
        <v>304</v>
      </c>
      <c r="G32" s="84"/>
      <c r="H32" s="106" t="s">
        <v>309</v>
      </c>
      <c r="I32" s="83"/>
      <c r="J32" s="83"/>
      <c r="K32" s="83"/>
      <c r="L32" s="233"/>
      <c r="M32" s="42" t="s">
        <v>316</v>
      </c>
      <c r="N32" s="40" t="s">
        <v>318</v>
      </c>
      <c r="O32" s="235"/>
      <c r="P32" s="35" t="s">
        <v>316</v>
      </c>
      <c r="Q32" s="37" t="s">
        <v>324</v>
      </c>
      <c r="T32" s="222"/>
      <c r="U32" s="223"/>
      <c r="V32" s="231"/>
      <c r="W32" s="229"/>
      <c r="X32" s="231"/>
      <c r="Y32" s="229"/>
      <c r="Z32" s="231"/>
      <c r="AD32" s="222"/>
      <c r="AE32" s="229"/>
      <c r="AF32" s="231"/>
      <c r="AG32" s="229"/>
      <c r="AH32" s="231"/>
      <c r="AI32" s="229"/>
      <c r="AJ32" s="231"/>
    </row>
    <row r="33" spans="2:38" x14ac:dyDescent="0.4">
      <c r="D33" s="113">
        <v>1</v>
      </c>
      <c r="E33" s="109"/>
      <c r="F33" s="113" t="s">
        <v>305</v>
      </c>
      <c r="G33" s="109"/>
      <c r="H33" s="113" t="s">
        <v>310</v>
      </c>
      <c r="I33" s="108"/>
      <c r="J33" s="108"/>
      <c r="K33" s="109"/>
      <c r="L33" s="13" t="s">
        <v>305</v>
      </c>
      <c r="M33" s="28" t="s">
        <v>306</v>
      </c>
      <c r="N33" s="29" t="s">
        <v>305</v>
      </c>
      <c r="O33" s="28" t="s">
        <v>306</v>
      </c>
      <c r="P33" s="29" t="s">
        <v>305</v>
      </c>
      <c r="Q33" s="14" t="s">
        <v>306</v>
      </c>
      <c r="T33" s="222">
        <v>2</v>
      </c>
      <c r="U33" s="227" t="s">
        <v>336</v>
      </c>
      <c r="V33" s="225" t="s">
        <v>354</v>
      </c>
      <c r="W33" s="227" t="s">
        <v>335</v>
      </c>
      <c r="X33" s="225" t="s">
        <v>353</v>
      </c>
      <c r="Y33" s="227" t="s">
        <v>334</v>
      </c>
      <c r="Z33" s="225" t="s">
        <v>352</v>
      </c>
      <c r="AD33" s="222">
        <v>2</v>
      </c>
      <c r="AE33" s="227" t="s">
        <v>345</v>
      </c>
      <c r="AF33" s="225" t="s">
        <v>363</v>
      </c>
      <c r="AG33" s="227" t="s">
        <v>344</v>
      </c>
      <c r="AH33" s="225" t="s">
        <v>362</v>
      </c>
      <c r="AI33" s="227" t="s">
        <v>343</v>
      </c>
      <c r="AJ33" s="225" t="s">
        <v>361</v>
      </c>
    </row>
    <row r="34" spans="2:38" ht="18" thickBot="1" x14ac:dyDescent="0.45">
      <c r="D34" s="106"/>
      <c r="E34" s="84"/>
      <c r="F34" s="106"/>
      <c r="G34" s="84"/>
      <c r="H34" s="106"/>
      <c r="I34" s="83"/>
      <c r="J34" s="83"/>
      <c r="K34" s="84"/>
      <c r="L34" s="106" t="s">
        <v>321</v>
      </c>
      <c r="M34" s="40" t="s">
        <v>318</v>
      </c>
      <c r="N34" s="236" t="s">
        <v>322</v>
      </c>
      <c r="O34" s="40" t="s">
        <v>324</v>
      </c>
      <c r="P34" s="236" t="s">
        <v>323</v>
      </c>
      <c r="Q34" s="37" t="s">
        <v>327</v>
      </c>
      <c r="T34" s="222"/>
      <c r="U34" s="224"/>
      <c r="V34" s="226"/>
      <c r="W34" s="224"/>
      <c r="X34" s="226"/>
      <c r="Y34" s="224"/>
      <c r="Z34" s="226"/>
      <c r="AD34" s="222"/>
      <c r="AE34" s="224"/>
      <c r="AF34" s="226"/>
      <c r="AG34" s="224"/>
      <c r="AH34" s="226"/>
      <c r="AI34" s="224"/>
      <c r="AJ34" s="226"/>
    </row>
    <row r="35" spans="2:38" x14ac:dyDescent="0.4">
      <c r="D35" s="106"/>
      <c r="E35" s="84"/>
      <c r="F35" s="106" t="s">
        <v>306</v>
      </c>
      <c r="G35" s="84"/>
      <c r="H35" s="106" t="s">
        <v>311</v>
      </c>
      <c r="I35" s="83"/>
      <c r="J35" s="83"/>
      <c r="K35" s="84"/>
      <c r="L35" s="106"/>
      <c r="M35" s="40" t="s">
        <v>319</v>
      </c>
      <c r="N35" s="236"/>
      <c r="O35" s="40" t="s">
        <v>325</v>
      </c>
      <c r="P35" s="236"/>
      <c r="Q35" s="37" t="s">
        <v>328</v>
      </c>
      <c r="T35" s="222">
        <v>1</v>
      </c>
      <c r="U35" s="223" t="s">
        <v>333</v>
      </c>
      <c r="V35" s="225" t="s">
        <v>351</v>
      </c>
      <c r="W35" s="227" t="s">
        <v>332</v>
      </c>
      <c r="X35" s="225" t="s">
        <v>350</v>
      </c>
      <c r="Y35" s="227" t="s">
        <v>331</v>
      </c>
      <c r="Z35" s="225" t="s">
        <v>349</v>
      </c>
      <c r="AA35" s="217" t="s">
        <v>330</v>
      </c>
      <c r="AB35" s="218"/>
      <c r="AD35" s="222">
        <v>1</v>
      </c>
      <c r="AE35" s="227" t="s">
        <v>342</v>
      </c>
      <c r="AF35" s="225" t="s">
        <v>360</v>
      </c>
      <c r="AG35" s="227" t="s">
        <v>341</v>
      </c>
      <c r="AH35" s="225" t="s">
        <v>359</v>
      </c>
      <c r="AI35" s="227" t="s">
        <v>340</v>
      </c>
      <c r="AJ35" s="225" t="s">
        <v>358</v>
      </c>
      <c r="AK35" s="217" t="s">
        <v>330</v>
      </c>
      <c r="AL35" s="218"/>
    </row>
    <row r="36" spans="2:38" ht="18" thickBot="1" x14ac:dyDescent="0.45">
      <c r="D36" s="107"/>
      <c r="E36" s="86"/>
      <c r="F36" s="107"/>
      <c r="G36" s="86"/>
      <c r="H36" s="107"/>
      <c r="I36" s="85"/>
      <c r="J36" s="85"/>
      <c r="K36" s="86"/>
      <c r="L36" s="107"/>
      <c r="M36" s="39" t="s">
        <v>320</v>
      </c>
      <c r="N36" s="147"/>
      <c r="O36" s="39" t="s">
        <v>326</v>
      </c>
      <c r="P36" s="147"/>
      <c r="Q36" s="38" t="s">
        <v>329</v>
      </c>
      <c r="T36" s="222"/>
      <c r="U36" s="224"/>
      <c r="V36" s="226"/>
      <c r="W36" s="224"/>
      <c r="X36" s="226"/>
      <c r="Y36" s="224"/>
      <c r="Z36" s="226"/>
      <c r="AA36" s="219"/>
      <c r="AB36" s="220"/>
      <c r="AD36" s="222"/>
      <c r="AE36" s="224"/>
      <c r="AF36" s="226"/>
      <c r="AG36" s="224"/>
      <c r="AH36" s="226"/>
      <c r="AI36" s="224"/>
      <c r="AJ36" s="226"/>
      <c r="AK36" s="219"/>
      <c r="AL36" s="220"/>
    </row>
    <row r="37" spans="2:38" ht="18" thickBot="1" x14ac:dyDescent="0.45">
      <c r="U37" s="221">
        <v>3</v>
      </c>
      <c r="V37" s="221"/>
      <c r="W37" s="221">
        <v>2</v>
      </c>
      <c r="X37" s="221"/>
      <c r="Y37" s="221">
        <v>1</v>
      </c>
      <c r="Z37" s="221"/>
      <c r="AA37" s="46"/>
      <c r="AE37" s="221">
        <v>3</v>
      </c>
      <c r="AF37" s="221"/>
      <c r="AG37" s="221">
        <v>2</v>
      </c>
      <c r="AH37" s="221"/>
      <c r="AI37" s="221">
        <v>1</v>
      </c>
      <c r="AJ37" s="221"/>
    </row>
    <row r="38" spans="2:38" ht="18" thickBot="1" x14ac:dyDescent="0.45">
      <c r="B38" s="161" t="s">
        <v>392</v>
      </c>
      <c r="C38" s="216"/>
      <c r="D38" s="216"/>
      <c r="E38" s="190"/>
    </row>
    <row r="39" spans="2:38" ht="18" thickBot="1" x14ac:dyDescent="0.45">
      <c r="B39" s="161" t="s">
        <v>388</v>
      </c>
      <c r="C39" s="190"/>
      <c r="D39" s="210">
        <v>0</v>
      </c>
      <c r="E39" s="211"/>
      <c r="F39" s="65"/>
      <c r="G39" s="65"/>
      <c r="H39" s="66"/>
      <c r="I39" s="66"/>
      <c r="W39" s="200" t="s">
        <v>315</v>
      </c>
      <c r="X39" s="204"/>
      <c r="AC39" s="156"/>
      <c r="AD39" s="156"/>
      <c r="AG39" s="200" t="s">
        <v>316</v>
      </c>
      <c r="AH39" s="204"/>
    </row>
    <row r="40" spans="2:38" ht="18" thickBot="1" x14ac:dyDescent="0.45">
      <c r="B40" s="212" t="s">
        <v>307</v>
      </c>
      <c r="C40" s="213"/>
      <c r="D40" s="214" t="s">
        <v>452</v>
      </c>
      <c r="E40" s="215"/>
      <c r="U40" s="228" t="s">
        <v>507</v>
      </c>
      <c r="V40" s="230" t="s">
        <v>516</v>
      </c>
      <c r="W40" s="228" t="s">
        <v>506</v>
      </c>
      <c r="X40" s="230" t="s">
        <v>515</v>
      </c>
      <c r="Y40" s="228" t="s">
        <v>505</v>
      </c>
      <c r="Z40" s="230" t="s">
        <v>514</v>
      </c>
      <c r="AD40" s="222">
        <v>3</v>
      </c>
      <c r="AE40" s="228" t="s">
        <v>526</v>
      </c>
      <c r="AF40" s="230" t="s">
        <v>534</v>
      </c>
      <c r="AG40" s="228" t="s">
        <v>525</v>
      </c>
      <c r="AH40" s="230" t="s">
        <v>533</v>
      </c>
      <c r="AI40" s="228" t="s">
        <v>524</v>
      </c>
      <c r="AJ40" s="230" t="s">
        <v>532</v>
      </c>
    </row>
    <row r="41" spans="2:38" ht="18" thickBot="1" x14ac:dyDescent="0.45">
      <c r="U41" s="223"/>
      <c r="V41" s="231"/>
      <c r="W41" s="229"/>
      <c r="X41" s="231"/>
      <c r="Y41" s="229"/>
      <c r="Z41" s="231"/>
      <c r="AD41" s="222"/>
      <c r="AE41" s="229"/>
      <c r="AF41" s="231"/>
      <c r="AG41" s="229"/>
      <c r="AH41" s="231"/>
      <c r="AI41" s="229"/>
      <c r="AJ41" s="231"/>
    </row>
    <row r="42" spans="2:38" ht="18" thickBot="1" x14ac:dyDescent="0.45">
      <c r="B42" s="161" t="s">
        <v>300</v>
      </c>
      <c r="C42" s="190"/>
      <c r="D42" s="200" t="s">
        <v>301</v>
      </c>
      <c r="E42" s="201"/>
      <c r="F42" s="200" t="s">
        <v>302</v>
      </c>
      <c r="G42" s="202"/>
      <c r="H42" s="203" t="s">
        <v>307</v>
      </c>
      <c r="I42" s="203"/>
      <c r="J42" s="203"/>
      <c r="K42" s="201"/>
      <c r="L42" s="200" t="s">
        <v>312</v>
      </c>
      <c r="M42" s="204"/>
      <c r="U42" s="227" t="s">
        <v>504</v>
      </c>
      <c r="V42" s="225" t="s">
        <v>513</v>
      </c>
      <c r="W42" s="227" t="s">
        <v>503</v>
      </c>
      <c r="X42" s="225" t="s">
        <v>512</v>
      </c>
      <c r="Y42" s="227" t="s">
        <v>502</v>
      </c>
      <c r="Z42" s="225" t="s">
        <v>511</v>
      </c>
      <c r="AD42" s="222">
        <v>2</v>
      </c>
      <c r="AE42" s="227" t="s">
        <v>523</v>
      </c>
      <c r="AF42" s="225" t="s">
        <v>531</v>
      </c>
      <c r="AG42" s="227" t="s">
        <v>522</v>
      </c>
      <c r="AH42" s="225" t="s">
        <v>530</v>
      </c>
      <c r="AI42" s="227" t="s">
        <v>521</v>
      </c>
      <c r="AJ42" s="225" t="s">
        <v>529</v>
      </c>
    </row>
    <row r="43" spans="2:38" ht="18" thickBot="1" x14ac:dyDescent="0.45">
      <c r="D43" s="113">
        <v>0</v>
      </c>
      <c r="E43" s="109"/>
      <c r="F43" s="205" t="s">
        <v>450</v>
      </c>
      <c r="G43" s="112"/>
      <c r="H43" s="205"/>
      <c r="I43" s="111"/>
      <c r="J43" s="111"/>
      <c r="K43" s="111"/>
      <c r="L43" s="206" t="s">
        <v>318</v>
      </c>
      <c r="M43" s="207"/>
      <c r="U43" s="224"/>
      <c r="V43" s="226"/>
      <c r="W43" s="224"/>
      <c r="X43" s="226"/>
      <c r="Y43" s="224"/>
      <c r="Z43" s="226"/>
      <c r="AD43" s="222"/>
      <c r="AE43" s="224"/>
      <c r="AF43" s="226"/>
      <c r="AG43" s="224"/>
      <c r="AH43" s="226"/>
      <c r="AI43" s="224"/>
      <c r="AJ43" s="226"/>
    </row>
    <row r="44" spans="2:38" ht="18" thickBot="1" x14ac:dyDescent="0.45">
      <c r="D44" s="107"/>
      <c r="E44" s="86"/>
      <c r="F44" s="107" t="s">
        <v>451</v>
      </c>
      <c r="G44" s="86"/>
      <c r="H44" s="107"/>
      <c r="I44" s="85"/>
      <c r="J44" s="85"/>
      <c r="K44" s="85"/>
      <c r="L44" s="208" t="s">
        <v>317</v>
      </c>
      <c r="M44" s="209"/>
      <c r="U44" s="223" t="s">
        <v>501</v>
      </c>
      <c r="V44" s="225" t="s">
        <v>510</v>
      </c>
      <c r="W44" s="227" t="s">
        <v>500</v>
      </c>
      <c r="X44" s="225" t="s">
        <v>509</v>
      </c>
      <c r="Y44" s="227" t="s">
        <v>499</v>
      </c>
      <c r="Z44" s="225" t="s">
        <v>508</v>
      </c>
      <c r="AA44" s="217" t="s">
        <v>330</v>
      </c>
      <c r="AB44" s="218"/>
      <c r="AD44" s="222">
        <v>1</v>
      </c>
      <c r="AE44" s="227" t="s">
        <v>520</v>
      </c>
      <c r="AF44" s="225" t="s">
        <v>528</v>
      </c>
      <c r="AG44" s="227" t="s">
        <v>519</v>
      </c>
      <c r="AH44" s="225" t="s">
        <v>527</v>
      </c>
      <c r="AI44" s="227" t="s">
        <v>517</v>
      </c>
      <c r="AJ44" s="225" t="s">
        <v>518</v>
      </c>
      <c r="AK44" s="217" t="s">
        <v>330</v>
      </c>
      <c r="AL44" s="218"/>
    </row>
    <row r="45" spans="2:38" ht="18" thickBot="1" x14ac:dyDescent="0.45">
      <c r="U45" s="224"/>
      <c r="V45" s="226"/>
      <c r="W45" s="224"/>
      <c r="X45" s="226"/>
      <c r="Y45" s="224"/>
      <c r="Z45" s="226"/>
      <c r="AA45" s="219"/>
      <c r="AB45" s="220"/>
      <c r="AD45" s="222"/>
      <c r="AE45" s="224"/>
      <c r="AF45" s="226"/>
      <c r="AG45" s="224"/>
      <c r="AH45" s="226"/>
      <c r="AI45" s="224"/>
      <c r="AJ45" s="226"/>
      <c r="AK45" s="219"/>
      <c r="AL45" s="220"/>
    </row>
    <row r="47" spans="2:38" ht="18" thickBot="1" x14ac:dyDescent="0.45"/>
    <row r="48" spans="2:38" x14ac:dyDescent="0.4">
      <c r="X48" s="1"/>
      <c r="Y48" s="81" t="s">
        <v>535</v>
      </c>
      <c r="Z48" s="81" t="s">
        <v>536</v>
      </c>
      <c r="AA48" s="2"/>
    </row>
    <row r="49" spans="24:27" x14ac:dyDescent="0.4">
      <c r="X49" s="3" t="s">
        <v>537</v>
      </c>
      <c r="Y49" s="7">
        <v>65</v>
      </c>
      <c r="Z49" s="7">
        <v>97</v>
      </c>
      <c r="AA49" s="4" t="s">
        <v>538</v>
      </c>
    </row>
    <row r="50" spans="24:27" x14ac:dyDescent="0.4">
      <c r="X50" s="3" t="s">
        <v>555</v>
      </c>
      <c r="Y50" s="7">
        <f>Y49+1</f>
        <v>66</v>
      </c>
      <c r="Z50" s="7">
        <f>Z49+1</f>
        <v>98</v>
      </c>
      <c r="AA50" s="4" t="s">
        <v>539</v>
      </c>
    </row>
    <row r="51" spans="24:27" x14ac:dyDescent="0.4">
      <c r="X51" s="3" t="s">
        <v>556</v>
      </c>
      <c r="Y51" s="7">
        <f t="shared" ref="Y51:Y66" si="0">Y50+1</f>
        <v>67</v>
      </c>
      <c r="Z51" s="7">
        <f t="shared" ref="Z51:Z66" si="1">Z50+1</f>
        <v>99</v>
      </c>
      <c r="AA51" s="4" t="s">
        <v>380</v>
      </c>
    </row>
    <row r="52" spans="24:27" x14ac:dyDescent="0.4">
      <c r="X52" s="3" t="s">
        <v>557</v>
      </c>
      <c r="Y52" s="7">
        <f t="shared" si="0"/>
        <v>68</v>
      </c>
      <c r="Z52" s="7">
        <f t="shared" si="1"/>
        <v>100</v>
      </c>
      <c r="AA52" s="4" t="s">
        <v>540</v>
      </c>
    </row>
    <row r="53" spans="24:27" x14ac:dyDescent="0.4">
      <c r="X53" s="3" t="s">
        <v>558</v>
      </c>
      <c r="Y53" s="7">
        <f t="shared" si="0"/>
        <v>69</v>
      </c>
      <c r="Z53" s="7">
        <f t="shared" si="1"/>
        <v>101</v>
      </c>
      <c r="AA53" s="4" t="s">
        <v>541</v>
      </c>
    </row>
    <row r="54" spans="24:27" x14ac:dyDescent="0.4">
      <c r="X54" s="3" t="s">
        <v>559</v>
      </c>
      <c r="Y54" s="7">
        <f t="shared" si="0"/>
        <v>70</v>
      </c>
      <c r="Z54" s="7">
        <f t="shared" si="1"/>
        <v>102</v>
      </c>
      <c r="AA54" s="4" t="s">
        <v>542</v>
      </c>
    </row>
    <row r="55" spans="24:27" x14ac:dyDescent="0.4">
      <c r="X55" s="3" t="s">
        <v>560</v>
      </c>
      <c r="Y55" s="7">
        <f t="shared" si="0"/>
        <v>71</v>
      </c>
      <c r="Z55" s="7">
        <f t="shared" si="1"/>
        <v>103</v>
      </c>
      <c r="AA55" s="4" t="s">
        <v>543</v>
      </c>
    </row>
    <row r="56" spans="24:27" x14ac:dyDescent="0.4">
      <c r="X56" s="3" t="s">
        <v>561</v>
      </c>
      <c r="Y56" s="7">
        <f t="shared" si="0"/>
        <v>72</v>
      </c>
      <c r="Z56" s="7">
        <f t="shared" si="1"/>
        <v>104</v>
      </c>
      <c r="AA56" s="4" t="s">
        <v>544</v>
      </c>
    </row>
    <row r="57" spans="24:27" x14ac:dyDescent="0.4">
      <c r="X57" s="3" t="s">
        <v>562</v>
      </c>
      <c r="Y57" s="7">
        <f t="shared" si="0"/>
        <v>73</v>
      </c>
      <c r="Z57" s="7">
        <f t="shared" si="1"/>
        <v>105</v>
      </c>
      <c r="AA57" s="4" t="s">
        <v>545</v>
      </c>
    </row>
    <row r="58" spans="24:27" x14ac:dyDescent="0.4">
      <c r="X58" s="3" t="s">
        <v>563</v>
      </c>
      <c r="Y58" s="7">
        <f t="shared" si="0"/>
        <v>74</v>
      </c>
      <c r="Z58" s="7">
        <f t="shared" si="1"/>
        <v>106</v>
      </c>
      <c r="AA58" s="4" t="s">
        <v>546</v>
      </c>
    </row>
    <row r="59" spans="24:27" x14ac:dyDescent="0.4">
      <c r="X59" s="3" t="s">
        <v>564</v>
      </c>
      <c r="Y59" s="7">
        <f t="shared" si="0"/>
        <v>75</v>
      </c>
      <c r="Z59" s="7">
        <f t="shared" si="1"/>
        <v>107</v>
      </c>
      <c r="AA59" s="4" t="s">
        <v>547</v>
      </c>
    </row>
    <row r="60" spans="24:27" x14ac:dyDescent="0.4">
      <c r="X60" s="3" t="s">
        <v>565</v>
      </c>
      <c r="Y60" s="7">
        <f t="shared" si="0"/>
        <v>76</v>
      </c>
      <c r="Z60" s="7">
        <f t="shared" si="1"/>
        <v>108</v>
      </c>
      <c r="AA60" s="4" t="s">
        <v>548</v>
      </c>
    </row>
    <row r="61" spans="24:27" x14ac:dyDescent="0.4">
      <c r="X61" s="3" t="s">
        <v>566</v>
      </c>
      <c r="Y61" s="7">
        <f t="shared" si="0"/>
        <v>77</v>
      </c>
      <c r="Z61" s="7">
        <f t="shared" si="1"/>
        <v>109</v>
      </c>
      <c r="AA61" s="4" t="s">
        <v>549</v>
      </c>
    </row>
    <row r="62" spans="24:27" x14ac:dyDescent="0.4">
      <c r="X62" s="3" t="s">
        <v>567</v>
      </c>
      <c r="Y62" s="7">
        <f t="shared" si="0"/>
        <v>78</v>
      </c>
      <c r="Z62" s="7">
        <f t="shared" si="1"/>
        <v>110</v>
      </c>
      <c r="AA62" s="4" t="s">
        <v>550</v>
      </c>
    </row>
    <row r="63" spans="24:27" x14ac:dyDescent="0.4">
      <c r="X63" s="3" t="s">
        <v>232</v>
      </c>
      <c r="Y63" s="7">
        <f t="shared" si="0"/>
        <v>79</v>
      </c>
      <c r="Z63" s="7">
        <f t="shared" si="1"/>
        <v>111</v>
      </c>
      <c r="AA63" s="4" t="s">
        <v>551</v>
      </c>
    </row>
    <row r="64" spans="24:27" x14ac:dyDescent="0.4">
      <c r="X64" s="3" t="s">
        <v>569</v>
      </c>
      <c r="Y64" s="7">
        <f t="shared" si="0"/>
        <v>80</v>
      </c>
      <c r="Z64" s="7">
        <f t="shared" si="1"/>
        <v>112</v>
      </c>
      <c r="AA64" s="4" t="s">
        <v>552</v>
      </c>
    </row>
    <row r="65" spans="24:27" x14ac:dyDescent="0.4">
      <c r="X65" s="3" t="s">
        <v>568</v>
      </c>
      <c r="Y65" s="7">
        <f t="shared" si="0"/>
        <v>81</v>
      </c>
      <c r="Z65" s="7">
        <f t="shared" si="1"/>
        <v>113</v>
      </c>
      <c r="AA65" s="4" t="s">
        <v>553</v>
      </c>
    </row>
    <row r="66" spans="24:27" ht="18" thickBot="1" x14ac:dyDescent="0.45">
      <c r="X66" s="5" t="s">
        <v>570</v>
      </c>
      <c r="Y66" s="82">
        <f t="shared" si="0"/>
        <v>82</v>
      </c>
      <c r="Z66" s="82">
        <f t="shared" si="1"/>
        <v>114</v>
      </c>
      <c r="AA66" s="6" t="s">
        <v>554</v>
      </c>
    </row>
  </sheetData>
  <mergeCells count="220">
    <mergeCell ref="AF44:AF45"/>
    <mergeCell ref="AG44:AG45"/>
    <mergeCell ref="AH44:AH45"/>
    <mergeCell ref="AI44:AI45"/>
    <mergeCell ref="AJ44:AJ45"/>
    <mergeCell ref="AK44:AL45"/>
    <mergeCell ref="U44:U45"/>
    <mergeCell ref="V44:V45"/>
    <mergeCell ref="W44:W45"/>
    <mergeCell ref="X44:X45"/>
    <mergeCell ref="Y44:Y45"/>
    <mergeCell ref="Z44:Z45"/>
    <mergeCell ref="AA44:AB45"/>
    <mergeCell ref="AD44:AD45"/>
    <mergeCell ref="AE44:AE45"/>
    <mergeCell ref="AI40:AI41"/>
    <mergeCell ref="AJ40:AJ41"/>
    <mergeCell ref="U42:U43"/>
    <mergeCell ref="V42:V43"/>
    <mergeCell ref="W42:W43"/>
    <mergeCell ref="X42:X43"/>
    <mergeCell ref="Y42:Y43"/>
    <mergeCell ref="Z42:Z43"/>
    <mergeCell ref="AD42:AD43"/>
    <mergeCell ref="AE42:AE43"/>
    <mergeCell ref="AF42:AF43"/>
    <mergeCell ref="AG42:AG43"/>
    <mergeCell ref="AH42:AH43"/>
    <mergeCell ref="AI42:AI43"/>
    <mergeCell ref="AJ42:AJ43"/>
    <mergeCell ref="AG39:AH39"/>
    <mergeCell ref="U40:U41"/>
    <mergeCell ref="V40:V41"/>
    <mergeCell ref="W40:W41"/>
    <mergeCell ref="X40:X41"/>
    <mergeCell ref="Y40:Y41"/>
    <mergeCell ref="Z40:Z41"/>
    <mergeCell ref="AD40:AD41"/>
    <mergeCell ref="AE40:AE41"/>
    <mergeCell ref="AF40:AF41"/>
    <mergeCell ref="AG40:AG41"/>
    <mergeCell ref="AH40:AH41"/>
    <mergeCell ref="P14:Z14"/>
    <mergeCell ref="P17:Z17"/>
    <mergeCell ref="P6:X6"/>
    <mergeCell ref="P8:X8"/>
    <mergeCell ref="Y6:Z6"/>
    <mergeCell ref="Y8:Z8"/>
    <mergeCell ref="P11:X11"/>
    <mergeCell ref="Y11:Z11"/>
    <mergeCell ref="P15:X15"/>
    <mergeCell ref="Y15:Z15"/>
    <mergeCell ref="P12:X12"/>
    <mergeCell ref="Y12:Z12"/>
    <mergeCell ref="P16:X16"/>
    <mergeCell ref="Y16:Z16"/>
    <mergeCell ref="P7:X7"/>
    <mergeCell ref="Y7:Z7"/>
    <mergeCell ref="P5:Z5"/>
    <mergeCell ref="P9:Z9"/>
    <mergeCell ref="P10:Z10"/>
    <mergeCell ref="P13:Z13"/>
    <mergeCell ref="D15:G15"/>
    <mergeCell ref="H15:K15"/>
    <mergeCell ref="L15:O15"/>
    <mergeCell ref="H16:K16"/>
    <mergeCell ref="L16:O16"/>
    <mergeCell ref="L10:O10"/>
    <mergeCell ref="D11:G11"/>
    <mergeCell ref="H11:K11"/>
    <mergeCell ref="L11:O11"/>
    <mergeCell ref="D12:G12"/>
    <mergeCell ref="H12:K12"/>
    <mergeCell ref="L12:O12"/>
    <mergeCell ref="D9:G9"/>
    <mergeCell ref="H9:K9"/>
    <mergeCell ref="L9:O9"/>
    <mergeCell ref="D7:G7"/>
    <mergeCell ref="H7:K7"/>
    <mergeCell ref="L7:O7"/>
    <mergeCell ref="L8:O8"/>
    <mergeCell ref="H8:K8"/>
    <mergeCell ref="B3:C3"/>
    <mergeCell ref="D3:G3"/>
    <mergeCell ref="H3:K3"/>
    <mergeCell ref="L3:O3"/>
    <mergeCell ref="D4:G4"/>
    <mergeCell ref="H4:K4"/>
    <mergeCell ref="L4:O4"/>
    <mergeCell ref="H17:K17"/>
    <mergeCell ref="L17:O17"/>
    <mergeCell ref="D16:G16"/>
    <mergeCell ref="D17:G17"/>
    <mergeCell ref="D13:G13"/>
    <mergeCell ref="H13:K13"/>
    <mergeCell ref="L13:O13"/>
    <mergeCell ref="D14:G14"/>
    <mergeCell ref="H14:K14"/>
    <mergeCell ref="L14:O14"/>
    <mergeCell ref="P4:Z4"/>
    <mergeCell ref="P3:X3"/>
    <mergeCell ref="Y3:Z3"/>
    <mergeCell ref="D10:G10"/>
    <mergeCell ref="H10:K10"/>
    <mergeCell ref="B26:G26"/>
    <mergeCell ref="B27:C27"/>
    <mergeCell ref="D27:E27"/>
    <mergeCell ref="F27:G27"/>
    <mergeCell ref="H27:I27"/>
    <mergeCell ref="J27:K27"/>
    <mergeCell ref="B23:C23"/>
    <mergeCell ref="D23:E23"/>
    <mergeCell ref="B24:C24"/>
    <mergeCell ref="D24:E24"/>
    <mergeCell ref="V26:W26"/>
    <mergeCell ref="V27:W27"/>
    <mergeCell ref="D8:G8"/>
    <mergeCell ref="D5:G5"/>
    <mergeCell ref="H5:K5"/>
    <mergeCell ref="L5:O5"/>
    <mergeCell ref="D6:G6"/>
    <mergeCell ref="H6:K6"/>
    <mergeCell ref="L6:O6"/>
    <mergeCell ref="B28:C28"/>
    <mergeCell ref="D28:E28"/>
    <mergeCell ref="F28:G28"/>
    <mergeCell ref="H28:I28"/>
    <mergeCell ref="J28:K28"/>
    <mergeCell ref="B30:C30"/>
    <mergeCell ref="D30:E30"/>
    <mergeCell ref="F30:G30"/>
    <mergeCell ref="H30:K30"/>
    <mergeCell ref="L30:Q30"/>
    <mergeCell ref="D31:E32"/>
    <mergeCell ref="F31:G31"/>
    <mergeCell ref="H31:K31"/>
    <mergeCell ref="L31:L32"/>
    <mergeCell ref="O31:O32"/>
    <mergeCell ref="F32:G32"/>
    <mergeCell ref="H32:K32"/>
    <mergeCell ref="D33:E36"/>
    <mergeCell ref="F33:G34"/>
    <mergeCell ref="H33:K34"/>
    <mergeCell ref="L34:L36"/>
    <mergeCell ref="N34:N36"/>
    <mergeCell ref="P34:P36"/>
    <mergeCell ref="F35:G36"/>
    <mergeCell ref="H35:K36"/>
    <mergeCell ref="W30:X30"/>
    <mergeCell ref="AC30:AD30"/>
    <mergeCell ref="AG30:AH30"/>
    <mergeCell ref="T31:T32"/>
    <mergeCell ref="U31:U32"/>
    <mergeCell ref="V31:V32"/>
    <mergeCell ref="W31:W32"/>
    <mergeCell ref="X31:X32"/>
    <mergeCell ref="Y31:Y32"/>
    <mergeCell ref="Z31:Z32"/>
    <mergeCell ref="AD31:AD32"/>
    <mergeCell ref="AE31:AE32"/>
    <mergeCell ref="AF31:AF32"/>
    <mergeCell ref="AG31:AG32"/>
    <mergeCell ref="AH31:AH32"/>
    <mergeCell ref="T33:T34"/>
    <mergeCell ref="U33:U34"/>
    <mergeCell ref="V33:V34"/>
    <mergeCell ref="W33:W34"/>
    <mergeCell ref="X33:X34"/>
    <mergeCell ref="Y33:Y34"/>
    <mergeCell ref="Z33:Z34"/>
    <mergeCell ref="AD33:AD34"/>
    <mergeCell ref="AE33:AE34"/>
    <mergeCell ref="AI31:AI32"/>
    <mergeCell ref="AJ31:AJ32"/>
    <mergeCell ref="AF33:AF34"/>
    <mergeCell ref="AG33:AG34"/>
    <mergeCell ref="AH33:AH34"/>
    <mergeCell ref="AI33:AI34"/>
    <mergeCell ref="AJ33:AJ34"/>
    <mergeCell ref="AI35:AI36"/>
    <mergeCell ref="AJ35:AJ36"/>
    <mergeCell ref="AF35:AF36"/>
    <mergeCell ref="AG35:AG36"/>
    <mergeCell ref="AH35:AH36"/>
    <mergeCell ref="B39:C39"/>
    <mergeCell ref="D39:E39"/>
    <mergeCell ref="B40:C40"/>
    <mergeCell ref="D40:E40"/>
    <mergeCell ref="B38:E38"/>
    <mergeCell ref="AK35:AL36"/>
    <mergeCell ref="U37:V37"/>
    <mergeCell ref="W37:X37"/>
    <mergeCell ref="Y37:Z37"/>
    <mergeCell ref="AE37:AF37"/>
    <mergeCell ref="AG37:AH37"/>
    <mergeCell ref="AI37:AJ37"/>
    <mergeCell ref="AA35:AB36"/>
    <mergeCell ref="T35:T36"/>
    <mergeCell ref="U35:U36"/>
    <mergeCell ref="V35:V36"/>
    <mergeCell ref="W35:W36"/>
    <mergeCell ref="X35:X36"/>
    <mergeCell ref="Y35:Y36"/>
    <mergeCell ref="Z35:Z36"/>
    <mergeCell ref="AD35:AD36"/>
    <mergeCell ref="AE35:AE36"/>
    <mergeCell ref="W39:X39"/>
    <mergeCell ref="AC39:AD39"/>
    <mergeCell ref="B42:C42"/>
    <mergeCell ref="D42:E42"/>
    <mergeCell ref="F42:G42"/>
    <mergeCell ref="H42:K42"/>
    <mergeCell ref="L42:M42"/>
    <mergeCell ref="D43:E44"/>
    <mergeCell ref="F43:G43"/>
    <mergeCell ref="H43:K43"/>
    <mergeCell ref="L43:M43"/>
    <mergeCell ref="F44:G44"/>
    <mergeCell ref="H44:K44"/>
    <mergeCell ref="L44:M44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BFF48-7257-4818-9EC0-D20227B70E1A}">
  <dimension ref="H4:CS277"/>
  <sheetViews>
    <sheetView topLeftCell="H33" zoomScale="44" zoomScaleNormal="25" workbookViewId="0">
      <selection activeCell="L81" sqref="L81:AQ82"/>
    </sheetView>
  </sheetViews>
  <sheetFormatPr defaultRowHeight="17.399999999999999" x14ac:dyDescent="0.4"/>
  <sheetData>
    <row r="4" spans="8:97" ht="18" thickBot="1" x14ac:dyDescent="0.45"/>
    <row r="5" spans="8:97" ht="18" thickBot="1" x14ac:dyDescent="0.45">
      <c r="BN5" s="273" t="s">
        <v>437</v>
      </c>
      <c r="BO5" s="274"/>
      <c r="BP5" s="274"/>
      <c r="BQ5" s="274"/>
      <c r="BR5" s="274"/>
      <c r="BS5" s="274"/>
      <c r="BT5" s="274"/>
      <c r="BU5" s="274"/>
      <c r="BV5" s="274"/>
      <c r="BW5" s="274"/>
      <c r="BX5" s="274"/>
      <c r="BY5" s="274"/>
      <c r="BZ5" s="274"/>
      <c r="CA5" s="274"/>
      <c r="CB5" s="274"/>
      <c r="CC5" s="274"/>
      <c r="CD5" s="274"/>
      <c r="CE5" s="274"/>
      <c r="CF5" s="274"/>
      <c r="CG5" s="274"/>
      <c r="CH5" s="274"/>
      <c r="CI5" s="274"/>
      <c r="CJ5" s="274"/>
      <c r="CK5" s="274"/>
      <c r="CL5" s="274"/>
      <c r="CM5" s="274"/>
      <c r="CN5" s="274"/>
      <c r="CO5" s="274"/>
      <c r="CP5" s="274"/>
      <c r="CQ5" s="274"/>
      <c r="CR5" s="274"/>
      <c r="CS5" s="275"/>
    </row>
    <row r="6" spans="8:97" x14ac:dyDescent="0.4">
      <c r="H6" s="273"/>
      <c r="I6" s="274"/>
      <c r="J6" s="274"/>
      <c r="K6" s="274"/>
      <c r="L6" s="274"/>
      <c r="M6" s="274"/>
      <c r="N6" s="274"/>
      <c r="O6" s="274"/>
      <c r="P6" s="274"/>
      <c r="Q6" s="274"/>
      <c r="R6" s="274"/>
      <c r="S6" s="274"/>
      <c r="T6" s="274"/>
      <c r="U6" s="274"/>
      <c r="V6" s="274"/>
      <c r="W6" s="274"/>
      <c r="X6" s="274"/>
      <c r="Y6" s="274"/>
      <c r="Z6" s="274"/>
      <c r="AA6" s="274"/>
      <c r="AB6" s="274"/>
      <c r="AC6" s="274"/>
      <c r="AD6" s="274"/>
      <c r="AE6" s="274"/>
      <c r="AF6" s="274"/>
      <c r="AG6" s="274"/>
      <c r="AH6" s="274"/>
      <c r="AI6" s="274"/>
      <c r="AJ6" s="274"/>
      <c r="AK6" s="274"/>
      <c r="AL6" s="274"/>
      <c r="AM6" s="274"/>
      <c r="AN6" s="274"/>
      <c r="AO6" s="274"/>
      <c r="AP6" s="274"/>
      <c r="AQ6" s="275"/>
      <c r="BN6" s="276"/>
      <c r="BO6" s="277"/>
      <c r="BP6" s="277"/>
      <c r="BQ6" s="277"/>
      <c r="BR6" s="277"/>
      <c r="BS6" s="277"/>
      <c r="BT6" s="277"/>
      <c r="BU6" s="277"/>
      <c r="BV6" s="277"/>
      <c r="BW6" s="277"/>
      <c r="BX6" s="277"/>
      <c r="BY6" s="277"/>
      <c r="BZ6" s="277"/>
      <c r="CA6" s="277"/>
      <c r="CB6" s="277"/>
      <c r="CC6" s="277"/>
      <c r="CD6" s="277"/>
      <c r="CE6" s="277"/>
      <c r="CF6" s="277"/>
      <c r="CG6" s="277"/>
      <c r="CH6" s="277"/>
      <c r="CI6" s="277"/>
      <c r="CJ6" s="277"/>
      <c r="CK6" s="277"/>
      <c r="CL6" s="277"/>
      <c r="CM6" s="277"/>
      <c r="CN6" s="277"/>
      <c r="CO6" s="277"/>
      <c r="CP6" s="277"/>
      <c r="CQ6" s="277"/>
      <c r="CR6" s="277"/>
      <c r="CS6" s="278"/>
    </row>
    <row r="7" spans="8:97" ht="17.399999999999999" customHeight="1" x14ac:dyDescent="0.4">
      <c r="H7" s="276"/>
      <c r="I7" s="277"/>
      <c r="J7" s="277"/>
      <c r="K7" s="277"/>
      <c r="L7" s="277"/>
      <c r="M7" s="277"/>
      <c r="N7" s="277"/>
      <c r="O7" s="277"/>
      <c r="P7" s="277"/>
      <c r="Q7" s="277"/>
      <c r="R7" s="277"/>
      <c r="S7" s="277"/>
      <c r="T7" s="277"/>
      <c r="U7" s="277"/>
      <c r="V7" s="277"/>
      <c r="W7" s="277"/>
      <c r="X7" s="277"/>
      <c r="Y7" s="277"/>
      <c r="Z7" s="277"/>
      <c r="AA7" s="277"/>
      <c r="AB7" s="277"/>
      <c r="AC7" s="277"/>
      <c r="AD7" s="277"/>
      <c r="AE7" s="277"/>
      <c r="AF7" s="277"/>
      <c r="AG7" s="277"/>
      <c r="AH7" s="277"/>
      <c r="AI7" s="277"/>
      <c r="AJ7" s="277"/>
      <c r="AK7" s="277"/>
      <c r="AL7" s="277"/>
      <c r="AM7" s="277"/>
      <c r="AN7" s="277"/>
      <c r="AO7" s="277"/>
      <c r="AP7" s="277"/>
      <c r="AQ7" s="278"/>
      <c r="BN7" s="276"/>
      <c r="BO7" s="277"/>
      <c r="BP7" s="277"/>
      <c r="BQ7" s="277"/>
      <c r="BR7" s="277"/>
      <c r="BS7" s="277"/>
      <c r="BT7" s="277"/>
      <c r="BU7" s="277"/>
      <c r="BV7" s="277"/>
      <c r="BW7" s="277"/>
      <c r="BX7" s="277"/>
      <c r="BY7" s="277"/>
      <c r="BZ7" s="277"/>
      <c r="CA7" s="277"/>
      <c r="CB7" s="277"/>
      <c r="CC7" s="277"/>
      <c r="CD7" s="277"/>
      <c r="CE7" s="277"/>
      <c r="CF7" s="277"/>
      <c r="CG7" s="277"/>
      <c r="CH7" s="277"/>
      <c r="CI7" s="277"/>
      <c r="CJ7" s="277"/>
      <c r="CK7" s="277"/>
      <c r="CL7" s="277"/>
      <c r="CM7" s="277"/>
      <c r="CN7" s="277"/>
      <c r="CO7" s="277"/>
      <c r="CP7" s="277"/>
      <c r="CQ7" s="277"/>
      <c r="CR7" s="277"/>
      <c r="CS7" s="278"/>
    </row>
    <row r="8" spans="8:97" ht="17.399999999999999" customHeight="1" x14ac:dyDescent="0.4">
      <c r="H8" s="276"/>
      <c r="I8" s="277"/>
      <c r="J8" s="277"/>
      <c r="K8" s="277"/>
      <c r="L8" s="277"/>
      <c r="M8" s="277"/>
      <c r="N8" s="277"/>
      <c r="O8" s="277"/>
      <c r="P8" s="277"/>
      <c r="Q8" s="277"/>
      <c r="R8" s="277"/>
      <c r="S8" s="277"/>
      <c r="T8" s="277"/>
      <c r="U8" s="277"/>
      <c r="V8" s="277"/>
      <c r="W8" s="277"/>
      <c r="X8" s="277"/>
      <c r="Y8" s="277"/>
      <c r="Z8" s="277"/>
      <c r="AA8" s="277"/>
      <c r="AB8" s="277"/>
      <c r="AC8" s="277"/>
      <c r="AD8" s="277"/>
      <c r="AE8" s="277"/>
      <c r="AF8" s="277"/>
      <c r="AG8" s="277"/>
      <c r="AH8" s="277"/>
      <c r="AI8" s="277"/>
      <c r="AJ8" s="277"/>
      <c r="AK8" s="277"/>
      <c r="AL8" s="277"/>
      <c r="AM8" s="277"/>
      <c r="AN8" s="277"/>
      <c r="AO8" s="277"/>
      <c r="AP8" s="277"/>
      <c r="AQ8" s="278"/>
      <c r="BN8" s="276"/>
      <c r="BO8" s="277"/>
      <c r="BP8" s="277"/>
      <c r="BQ8" s="277"/>
      <c r="BR8" s="277"/>
      <c r="BS8" s="277"/>
      <c r="BT8" s="277"/>
      <c r="BU8" s="277"/>
      <c r="BV8" s="277"/>
      <c r="BW8" s="277"/>
      <c r="BX8" s="277"/>
      <c r="BY8" s="277"/>
      <c r="BZ8" s="277"/>
      <c r="CA8" s="277"/>
      <c r="CB8" s="277"/>
      <c r="CC8" s="277"/>
      <c r="CD8" s="277"/>
      <c r="CE8" s="277"/>
      <c r="CF8" s="277"/>
      <c r="CG8" s="277"/>
      <c r="CH8" s="277"/>
      <c r="CI8" s="277"/>
      <c r="CJ8" s="277"/>
      <c r="CK8" s="277"/>
      <c r="CL8" s="277"/>
      <c r="CM8" s="277"/>
      <c r="CN8" s="277"/>
      <c r="CO8" s="277"/>
      <c r="CP8" s="277"/>
      <c r="CQ8" s="277"/>
      <c r="CR8" s="277"/>
      <c r="CS8" s="278"/>
    </row>
    <row r="9" spans="8:97" ht="17.399999999999999" customHeight="1" x14ac:dyDescent="0.4">
      <c r="H9" s="276"/>
      <c r="I9" s="277"/>
      <c r="J9" s="277"/>
      <c r="K9" s="277"/>
      <c r="L9" s="277"/>
      <c r="M9" s="277"/>
      <c r="N9" s="277"/>
      <c r="O9" s="277"/>
      <c r="P9" s="277"/>
      <c r="Q9" s="277"/>
      <c r="R9" s="277"/>
      <c r="S9" s="277"/>
      <c r="T9" s="277"/>
      <c r="U9" s="277"/>
      <c r="V9" s="277"/>
      <c r="W9" s="277"/>
      <c r="X9" s="277"/>
      <c r="Y9" s="277"/>
      <c r="Z9" s="277"/>
      <c r="AA9" s="277"/>
      <c r="AB9" s="277"/>
      <c r="AC9" s="277"/>
      <c r="AD9" s="277"/>
      <c r="AE9" s="277"/>
      <c r="AF9" s="277"/>
      <c r="AG9" s="277"/>
      <c r="AH9" s="277"/>
      <c r="AI9" s="277"/>
      <c r="AJ9" s="277"/>
      <c r="AK9" s="277"/>
      <c r="AL9" s="277"/>
      <c r="AM9" s="277"/>
      <c r="AN9" s="277"/>
      <c r="AO9" s="277"/>
      <c r="AP9" s="277"/>
      <c r="AQ9" s="278"/>
      <c r="BN9" s="276"/>
      <c r="BO9" s="277"/>
      <c r="BP9" s="277"/>
      <c r="BQ9" s="277"/>
      <c r="BR9" s="277"/>
      <c r="BS9" s="277"/>
      <c r="BT9" s="277"/>
      <c r="BU9" s="277"/>
      <c r="BV9" s="277"/>
      <c r="BW9" s="277"/>
      <c r="BX9" s="277"/>
      <c r="BY9" s="277"/>
      <c r="BZ9" s="277"/>
      <c r="CA9" s="277"/>
      <c r="CB9" s="277"/>
      <c r="CC9" s="277"/>
      <c r="CD9" s="277"/>
      <c r="CE9" s="277"/>
      <c r="CF9" s="277"/>
      <c r="CG9" s="277"/>
      <c r="CH9" s="277"/>
      <c r="CI9" s="277"/>
      <c r="CJ9" s="277"/>
      <c r="CK9" s="277"/>
      <c r="CL9" s="277"/>
      <c r="CM9" s="277"/>
      <c r="CN9" s="277"/>
      <c r="CO9" s="277"/>
      <c r="CP9" s="277"/>
      <c r="CQ9" s="277"/>
      <c r="CR9" s="277"/>
      <c r="CS9" s="278"/>
    </row>
    <row r="10" spans="8:97" ht="17.399999999999999" customHeight="1" x14ac:dyDescent="0.4">
      <c r="H10" s="276"/>
      <c r="I10" s="277"/>
      <c r="J10" s="277"/>
      <c r="K10" s="277"/>
      <c r="L10" s="277"/>
      <c r="M10" s="277"/>
      <c r="N10" s="277"/>
      <c r="O10" s="277"/>
      <c r="P10" s="277"/>
      <c r="Q10" s="277"/>
      <c r="R10" s="277"/>
      <c r="S10" s="277"/>
      <c r="T10" s="277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77"/>
      <c r="AI10" s="277"/>
      <c r="AJ10" s="277"/>
      <c r="AK10" s="277"/>
      <c r="AL10" s="277"/>
      <c r="AM10" s="277"/>
      <c r="AN10" s="277"/>
      <c r="AO10" s="277"/>
      <c r="AP10" s="277"/>
      <c r="AQ10" s="278"/>
      <c r="BN10" s="276"/>
      <c r="BO10" s="277"/>
      <c r="BP10" s="277"/>
      <c r="BQ10" s="277"/>
      <c r="BR10" s="277"/>
      <c r="BS10" s="277"/>
      <c r="BT10" s="277"/>
      <c r="BU10" s="277"/>
      <c r="BV10" s="277"/>
      <c r="BW10" s="277"/>
      <c r="BX10" s="277"/>
      <c r="BY10" s="277"/>
      <c r="BZ10" s="277"/>
      <c r="CA10" s="277"/>
      <c r="CB10" s="277"/>
      <c r="CC10" s="277"/>
      <c r="CD10" s="277"/>
      <c r="CE10" s="277"/>
      <c r="CF10" s="277"/>
      <c r="CG10" s="277"/>
      <c r="CH10" s="277"/>
      <c r="CI10" s="277"/>
      <c r="CJ10" s="277"/>
      <c r="CK10" s="277"/>
      <c r="CL10" s="277"/>
      <c r="CM10" s="277"/>
      <c r="CN10" s="277"/>
      <c r="CO10" s="277"/>
      <c r="CP10" s="277"/>
      <c r="CQ10" s="277"/>
      <c r="CR10" s="277"/>
      <c r="CS10" s="278"/>
    </row>
    <row r="11" spans="8:97" ht="17.399999999999999" customHeight="1" x14ac:dyDescent="0.4">
      <c r="H11" s="276"/>
      <c r="I11" s="277"/>
      <c r="J11" s="277"/>
      <c r="K11" s="277"/>
      <c r="L11" s="277"/>
      <c r="M11" s="277"/>
      <c r="N11" s="277"/>
      <c r="O11" s="277"/>
      <c r="P11" s="277"/>
      <c r="Q11" s="277"/>
      <c r="R11" s="277"/>
      <c r="S11" s="277"/>
      <c r="T11" s="277"/>
      <c r="U11" s="277"/>
      <c r="V11" s="277"/>
      <c r="W11" s="277"/>
      <c r="X11" s="277"/>
      <c r="Y11" s="277"/>
      <c r="Z11" s="277"/>
      <c r="AA11" s="277"/>
      <c r="AB11" s="277"/>
      <c r="AC11" s="277"/>
      <c r="AD11" s="277"/>
      <c r="AE11" s="277"/>
      <c r="AF11" s="277"/>
      <c r="AG11" s="277"/>
      <c r="AH11" s="277"/>
      <c r="AI11" s="277"/>
      <c r="AJ11" s="277"/>
      <c r="AK11" s="277"/>
      <c r="AL11" s="277"/>
      <c r="AM11" s="277"/>
      <c r="AN11" s="277"/>
      <c r="AO11" s="277"/>
      <c r="AP11" s="277"/>
      <c r="AQ11" s="278"/>
      <c r="BN11" s="276"/>
      <c r="BO11" s="277"/>
      <c r="BP11" s="277"/>
      <c r="BQ11" s="277"/>
      <c r="BR11" s="277"/>
      <c r="BS11" s="277"/>
      <c r="BT11" s="277"/>
      <c r="BU11" s="277"/>
      <c r="BV11" s="277"/>
      <c r="BW11" s="277"/>
      <c r="BX11" s="277"/>
      <c r="BY11" s="277"/>
      <c r="BZ11" s="277"/>
      <c r="CA11" s="277"/>
      <c r="CB11" s="277"/>
      <c r="CC11" s="277"/>
      <c r="CD11" s="277"/>
      <c r="CE11" s="277"/>
      <c r="CF11" s="277"/>
      <c r="CG11" s="277"/>
      <c r="CH11" s="277"/>
      <c r="CI11" s="277"/>
      <c r="CJ11" s="277"/>
      <c r="CK11" s="277"/>
      <c r="CL11" s="277"/>
      <c r="CM11" s="277"/>
      <c r="CN11" s="277"/>
      <c r="CO11" s="277"/>
      <c r="CP11" s="277"/>
      <c r="CQ11" s="277"/>
      <c r="CR11" s="277"/>
      <c r="CS11" s="278"/>
    </row>
    <row r="12" spans="8:97" ht="17.399999999999999" customHeight="1" x14ac:dyDescent="0.4">
      <c r="H12" s="276"/>
      <c r="I12" s="277"/>
      <c r="J12" s="277"/>
      <c r="K12" s="277"/>
      <c r="L12" s="277"/>
      <c r="M12" s="277"/>
      <c r="N12" s="277"/>
      <c r="O12" s="277"/>
      <c r="P12" s="277"/>
      <c r="Q12" s="277"/>
      <c r="R12" s="277"/>
      <c r="S12" s="277"/>
      <c r="T12" s="277"/>
      <c r="U12" s="277"/>
      <c r="V12" s="277"/>
      <c r="W12" s="277"/>
      <c r="X12" s="277"/>
      <c r="Y12" s="277"/>
      <c r="Z12" s="277"/>
      <c r="AA12" s="277"/>
      <c r="AB12" s="277"/>
      <c r="AC12" s="277"/>
      <c r="AD12" s="277"/>
      <c r="AE12" s="277"/>
      <c r="AF12" s="277"/>
      <c r="AG12" s="277"/>
      <c r="AH12" s="277"/>
      <c r="AI12" s="277"/>
      <c r="AJ12" s="277"/>
      <c r="AK12" s="277"/>
      <c r="AL12" s="277"/>
      <c r="AM12" s="277"/>
      <c r="AN12" s="277"/>
      <c r="AO12" s="277"/>
      <c r="AP12" s="277"/>
      <c r="AQ12" s="278"/>
      <c r="BN12" s="276"/>
      <c r="BO12" s="277"/>
      <c r="BP12" s="277"/>
      <c r="BQ12" s="277"/>
      <c r="BR12" s="277"/>
      <c r="BS12" s="277"/>
      <c r="BT12" s="277"/>
      <c r="BU12" s="277"/>
      <c r="BV12" s="277"/>
      <c r="BW12" s="277"/>
      <c r="BX12" s="277"/>
      <c r="BY12" s="277"/>
      <c r="BZ12" s="277"/>
      <c r="CA12" s="277"/>
      <c r="CB12" s="277"/>
      <c r="CC12" s="277"/>
      <c r="CD12" s="277"/>
      <c r="CE12" s="277"/>
      <c r="CF12" s="277"/>
      <c r="CG12" s="277"/>
      <c r="CH12" s="277"/>
      <c r="CI12" s="277"/>
      <c r="CJ12" s="277"/>
      <c r="CK12" s="277"/>
      <c r="CL12" s="277"/>
      <c r="CM12" s="277"/>
      <c r="CN12" s="277"/>
      <c r="CO12" s="277"/>
      <c r="CP12" s="277"/>
      <c r="CQ12" s="277"/>
      <c r="CR12" s="277"/>
      <c r="CS12" s="278"/>
    </row>
    <row r="13" spans="8:97" ht="17.399999999999999" customHeight="1" x14ac:dyDescent="0.4">
      <c r="H13" s="276"/>
      <c r="I13" s="277"/>
      <c r="J13" s="277"/>
      <c r="K13" s="277"/>
      <c r="L13" s="277"/>
      <c r="M13" s="277"/>
      <c r="N13" s="277"/>
      <c r="O13" s="277"/>
      <c r="P13" s="277"/>
      <c r="Q13" s="277"/>
      <c r="R13" s="277"/>
      <c r="S13" s="277"/>
      <c r="T13" s="277"/>
      <c r="U13" s="277"/>
      <c r="V13" s="277"/>
      <c r="W13" s="277"/>
      <c r="X13" s="277"/>
      <c r="Y13" s="277"/>
      <c r="Z13" s="277"/>
      <c r="AA13" s="277"/>
      <c r="AB13" s="277"/>
      <c r="AC13" s="277"/>
      <c r="AD13" s="277"/>
      <c r="AE13" s="277"/>
      <c r="AF13" s="277"/>
      <c r="AG13" s="277"/>
      <c r="AH13" s="277"/>
      <c r="AI13" s="277"/>
      <c r="AJ13" s="277"/>
      <c r="AK13" s="277"/>
      <c r="AL13" s="277"/>
      <c r="AM13" s="277"/>
      <c r="AN13" s="277"/>
      <c r="AO13" s="277"/>
      <c r="AP13" s="277"/>
      <c r="AQ13" s="278"/>
      <c r="BN13" s="276"/>
      <c r="BO13" s="277"/>
      <c r="BP13" s="277"/>
      <c r="BQ13" s="277"/>
      <c r="BR13" s="277"/>
      <c r="BS13" s="277"/>
      <c r="BT13" s="277"/>
      <c r="BU13" s="277"/>
      <c r="BV13" s="277"/>
      <c r="BW13" s="277"/>
      <c r="BX13" s="277"/>
      <c r="BY13" s="277"/>
      <c r="BZ13" s="277"/>
      <c r="CA13" s="277"/>
      <c r="CB13" s="277"/>
      <c r="CC13" s="277"/>
      <c r="CD13" s="277"/>
      <c r="CE13" s="277"/>
      <c r="CF13" s="277"/>
      <c r="CG13" s="277"/>
      <c r="CH13" s="277"/>
      <c r="CI13" s="277"/>
      <c r="CJ13" s="277"/>
      <c r="CK13" s="277"/>
      <c r="CL13" s="277"/>
      <c r="CM13" s="277"/>
      <c r="CN13" s="277"/>
      <c r="CO13" s="277"/>
      <c r="CP13" s="277"/>
      <c r="CQ13" s="277"/>
      <c r="CR13" s="277"/>
      <c r="CS13" s="278"/>
    </row>
    <row r="14" spans="8:97" ht="17.399999999999999" customHeight="1" x14ac:dyDescent="0.4">
      <c r="H14" s="276"/>
      <c r="I14" s="277"/>
      <c r="J14" s="277"/>
      <c r="K14" s="277"/>
      <c r="L14" s="277"/>
      <c r="M14" s="277"/>
      <c r="N14" s="277"/>
      <c r="O14" s="277"/>
      <c r="P14" s="277"/>
      <c r="Q14" s="277"/>
      <c r="R14" s="277"/>
      <c r="S14" s="277"/>
      <c r="T14" s="277"/>
      <c r="U14" s="277"/>
      <c r="V14" s="277"/>
      <c r="W14" s="277"/>
      <c r="X14" s="277"/>
      <c r="Y14" s="277"/>
      <c r="Z14" s="277"/>
      <c r="AA14" s="277"/>
      <c r="AB14" s="277"/>
      <c r="AC14" s="277"/>
      <c r="AD14" s="277"/>
      <c r="AE14" s="277"/>
      <c r="AF14" s="277"/>
      <c r="AG14" s="277"/>
      <c r="AH14" s="277"/>
      <c r="AI14" s="277"/>
      <c r="AJ14" s="277"/>
      <c r="AK14" s="277"/>
      <c r="AL14" s="277"/>
      <c r="AM14" s="277"/>
      <c r="AN14" s="277"/>
      <c r="AO14" s="277"/>
      <c r="AP14" s="277"/>
      <c r="AQ14" s="278"/>
      <c r="BN14" s="276"/>
      <c r="BO14" s="277"/>
      <c r="BP14" s="277"/>
      <c r="BQ14" s="277"/>
      <c r="BR14" s="277"/>
      <c r="BS14" s="277"/>
      <c r="BT14" s="277"/>
      <c r="BU14" s="277"/>
      <c r="BV14" s="277"/>
      <c r="BW14" s="277"/>
      <c r="BX14" s="277"/>
      <c r="BY14" s="277"/>
      <c r="BZ14" s="277"/>
      <c r="CA14" s="277"/>
      <c r="CB14" s="277"/>
      <c r="CC14" s="277"/>
      <c r="CD14" s="277"/>
      <c r="CE14" s="277"/>
      <c r="CF14" s="277"/>
      <c r="CG14" s="277"/>
      <c r="CH14" s="277"/>
      <c r="CI14" s="277"/>
      <c r="CJ14" s="277"/>
      <c r="CK14" s="277"/>
      <c r="CL14" s="277"/>
      <c r="CM14" s="277"/>
      <c r="CN14" s="277"/>
      <c r="CO14" s="277"/>
      <c r="CP14" s="277"/>
      <c r="CQ14" s="277"/>
      <c r="CR14" s="277"/>
      <c r="CS14" s="278"/>
    </row>
    <row r="15" spans="8:97" ht="17.399999999999999" customHeight="1" x14ac:dyDescent="0.4">
      <c r="H15" s="276"/>
      <c r="I15" s="277"/>
      <c r="J15" s="277"/>
      <c r="K15" s="277"/>
      <c r="L15" s="277"/>
      <c r="M15" s="277"/>
      <c r="N15" s="277"/>
      <c r="O15" s="277"/>
      <c r="P15" s="277"/>
      <c r="Q15" s="277"/>
      <c r="R15" s="277"/>
      <c r="S15" s="277"/>
      <c r="T15" s="277"/>
      <c r="U15" s="277"/>
      <c r="V15" s="277"/>
      <c r="W15" s="277"/>
      <c r="X15" s="277"/>
      <c r="Y15" s="277"/>
      <c r="Z15" s="277"/>
      <c r="AA15" s="277"/>
      <c r="AB15" s="277"/>
      <c r="AC15" s="277"/>
      <c r="AD15" s="277"/>
      <c r="AE15" s="277"/>
      <c r="AF15" s="277"/>
      <c r="AG15" s="277"/>
      <c r="AH15" s="277"/>
      <c r="AI15" s="277"/>
      <c r="AJ15" s="277"/>
      <c r="AK15" s="277"/>
      <c r="AL15" s="277"/>
      <c r="AM15" s="277"/>
      <c r="AN15" s="277"/>
      <c r="AO15" s="277"/>
      <c r="AP15" s="277"/>
      <c r="AQ15" s="278"/>
      <c r="BN15" s="276"/>
      <c r="BO15" s="277"/>
      <c r="BP15" s="277"/>
      <c r="BQ15" s="277"/>
      <c r="BR15" s="277"/>
      <c r="BS15" s="277"/>
      <c r="BT15" s="277"/>
      <c r="BU15" s="277"/>
      <c r="BV15" s="277"/>
      <c r="BW15" s="277"/>
      <c r="BX15" s="277"/>
      <c r="BY15" s="277"/>
      <c r="BZ15" s="277"/>
      <c r="CA15" s="277"/>
      <c r="CB15" s="277"/>
      <c r="CC15" s="277"/>
      <c r="CD15" s="277"/>
      <c r="CE15" s="277"/>
      <c r="CF15" s="277"/>
      <c r="CG15" s="277"/>
      <c r="CH15" s="277"/>
      <c r="CI15" s="277"/>
      <c r="CJ15" s="277"/>
      <c r="CK15" s="277"/>
      <c r="CL15" s="277"/>
      <c r="CM15" s="277"/>
      <c r="CN15" s="277"/>
      <c r="CO15" s="277"/>
      <c r="CP15" s="277"/>
      <c r="CQ15" s="277"/>
      <c r="CR15" s="277"/>
      <c r="CS15" s="278"/>
    </row>
    <row r="16" spans="8:97" ht="17.399999999999999" customHeight="1" x14ac:dyDescent="0.4">
      <c r="H16" s="276"/>
      <c r="I16" s="277"/>
      <c r="J16" s="277"/>
      <c r="K16" s="277"/>
      <c r="L16" s="277"/>
      <c r="M16" s="277"/>
      <c r="N16" s="277"/>
      <c r="O16" s="277"/>
      <c r="P16" s="277"/>
      <c r="Q16" s="277"/>
      <c r="R16" s="277"/>
      <c r="S16" s="277"/>
      <c r="T16" s="277"/>
      <c r="U16" s="277"/>
      <c r="V16" s="277"/>
      <c r="W16" s="277"/>
      <c r="X16" s="277"/>
      <c r="Y16" s="277"/>
      <c r="Z16" s="277"/>
      <c r="AA16" s="277"/>
      <c r="AB16" s="277"/>
      <c r="AC16" s="277"/>
      <c r="AD16" s="277"/>
      <c r="AE16" s="277"/>
      <c r="AF16" s="277"/>
      <c r="AG16" s="277"/>
      <c r="AH16" s="277"/>
      <c r="AI16" s="277"/>
      <c r="AJ16" s="277"/>
      <c r="AK16" s="277"/>
      <c r="AL16" s="277"/>
      <c r="AM16" s="277"/>
      <c r="AN16" s="277"/>
      <c r="AO16" s="277"/>
      <c r="AP16" s="277"/>
      <c r="AQ16" s="278"/>
      <c r="BN16" s="276"/>
      <c r="BO16" s="277"/>
      <c r="BP16" s="277"/>
      <c r="BQ16" s="277"/>
      <c r="BR16" s="277"/>
      <c r="BS16" s="277"/>
      <c r="BT16" s="277"/>
      <c r="BU16" s="277"/>
      <c r="BV16" s="277"/>
      <c r="BW16" s="277"/>
      <c r="BX16" s="277"/>
      <c r="BY16" s="277"/>
      <c r="BZ16" s="277"/>
      <c r="CA16" s="277"/>
      <c r="CB16" s="277"/>
      <c r="CC16" s="277"/>
      <c r="CD16" s="277"/>
      <c r="CE16" s="277"/>
      <c r="CF16" s="277"/>
      <c r="CG16" s="277"/>
      <c r="CH16" s="277"/>
      <c r="CI16" s="277"/>
      <c r="CJ16" s="277"/>
      <c r="CK16" s="277"/>
      <c r="CL16" s="277"/>
      <c r="CM16" s="277"/>
      <c r="CN16" s="277"/>
      <c r="CO16" s="277"/>
      <c r="CP16" s="277"/>
      <c r="CQ16" s="277"/>
      <c r="CR16" s="277"/>
      <c r="CS16" s="278"/>
    </row>
    <row r="17" spans="8:97" ht="17.399999999999999" customHeight="1" x14ac:dyDescent="0.4">
      <c r="H17" s="276"/>
      <c r="I17" s="277"/>
      <c r="J17" s="277"/>
      <c r="K17" s="277"/>
      <c r="L17" s="277"/>
      <c r="M17" s="277"/>
      <c r="N17" s="277"/>
      <c r="O17" s="277"/>
      <c r="P17" s="277"/>
      <c r="Q17" s="277"/>
      <c r="R17" s="277"/>
      <c r="S17" s="277"/>
      <c r="T17" s="277"/>
      <c r="U17" s="277"/>
      <c r="V17" s="277"/>
      <c r="W17" s="277"/>
      <c r="X17" s="277"/>
      <c r="Y17" s="277"/>
      <c r="Z17" s="277"/>
      <c r="AA17" s="277"/>
      <c r="AB17" s="277"/>
      <c r="AC17" s="277"/>
      <c r="AD17" s="277"/>
      <c r="AE17" s="277"/>
      <c r="AF17" s="277"/>
      <c r="AG17" s="277"/>
      <c r="AH17" s="277"/>
      <c r="AI17" s="277"/>
      <c r="AJ17" s="277"/>
      <c r="AK17" s="277"/>
      <c r="AL17" s="277"/>
      <c r="AM17" s="277"/>
      <c r="AN17" s="277"/>
      <c r="AO17" s="277"/>
      <c r="AP17" s="277"/>
      <c r="AQ17" s="278"/>
      <c r="BN17" s="276"/>
      <c r="BO17" s="277"/>
      <c r="BP17" s="277"/>
      <c r="BQ17" s="277"/>
      <c r="BR17" s="277"/>
      <c r="BS17" s="277"/>
      <c r="BT17" s="277"/>
      <c r="BU17" s="277"/>
      <c r="BV17" s="277"/>
      <c r="BW17" s="277"/>
      <c r="BX17" s="277"/>
      <c r="BY17" s="277"/>
      <c r="BZ17" s="277"/>
      <c r="CA17" s="277"/>
      <c r="CB17" s="277"/>
      <c r="CC17" s="277"/>
      <c r="CD17" s="277"/>
      <c r="CE17" s="277"/>
      <c r="CF17" s="277"/>
      <c r="CG17" s="277"/>
      <c r="CH17" s="277"/>
      <c r="CI17" s="277"/>
      <c r="CJ17" s="277"/>
      <c r="CK17" s="277"/>
      <c r="CL17" s="277"/>
      <c r="CM17" s="277"/>
      <c r="CN17" s="277"/>
      <c r="CO17" s="277"/>
      <c r="CP17" s="277"/>
      <c r="CQ17" s="277"/>
      <c r="CR17" s="277"/>
      <c r="CS17" s="278"/>
    </row>
    <row r="18" spans="8:97" ht="17.399999999999999" customHeight="1" x14ac:dyDescent="0.4">
      <c r="H18" s="276"/>
      <c r="I18" s="277"/>
      <c r="J18" s="277"/>
      <c r="K18" s="277"/>
      <c r="L18" s="277"/>
      <c r="M18" s="277"/>
      <c r="N18" s="277"/>
      <c r="O18" s="277"/>
      <c r="P18" s="277"/>
      <c r="Q18" s="277"/>
      <c r="R18" s="277"/>
      <c r="S18" s="277"/>
      <c r="T18" s="277"/>
      <c r="U18" s="277"/>
      <c r="V18" s="277"/>
      <c r="W18" s="277"/>
      <c r="X18" s="277"/>
      <c r="Y18" s="277"/>
      <c r="Z18" s="277"/>
      <c r="AA18" s="277"/>
      <c r="AB18" s="277"/>
      <c r="AC18" s="277"/>
      <c r="AD18" s="277"/>
      <c r="AE18" s="277"/>
      <c r="AF18" s="277"/>
      <c r="AG18" s="277"/>
      <c r="AH18" s="277"/>
      <c r="AI18" s="277"/>
      <c r="AJ18" s="277"/>
      <c r="AK18" s="277"/>
      <c r="AL18" s="277"/>
      <c r="AM18" s="277"/>
      <c r="AN18" s="277"/>
      <c r="AO18" s="277"/>
      <c r="AP18" s="277"/>
      <c r="AQ18" s="278"/>
      <c r="BN18" s="276"/>
      <c r="BO18" s="277"/>
      <c r="BP18" s="277"/>
      <c r="BQ18" s="277"/>
      <c r="BR18" s="277"/>
      <c r="BS18" s="277"/>
      <c r="BT18" s="277"/>
      <c r="BU18" s="277"/>
      <c r="BV18" s="277"/>
      <c r="BW18" s="277"/>
      <c r="BX18" s="277"/>
      <c r="BY18" s="277"/>
      <c r="BZ18" s="277"/>
      <c r="CA18" s="277"/>
      <c r="CB18" s="277"/>
      <c r="CC18" s="277"/>
      <c r="CD18" s="277"/>
      <c r="CE18" s="277"/>
      <c r="CF18" s="277"/>
      <c r="CG18" s="277"/>
      <c r="CH18" s="277"/>
      <c r="CI18" s="277"/>
      <c r="CJ18" s="277"/>
      <c r="CK18" s="277"/>
      <c r="CL18" s="277"/>
      <c r="CM18" s="277"/>
      <c r="CN18" s="277"/>
      <c r="CO18" s="277"/>
      <c r="CP18" s="277"/>
      <c r="CQ18" s="277"/>
      <c r="CR18" s="277"/>
      <c r="CS18" s="278"/>
    </row>
    <row r="19" spans="8:97" ht="17.399999999999999" customHeight="1" x14ac:dyDescent="0.4">
      <c r="H19" s="276"/>
      <c r="I19" s="277"/>
      <c r="J19" s="277"/>
      <c r="K19" s="277"/>
      <c r="L19" s="277"/>
      <c r="M19" s="277"/>
      <c r="N19" s="277"/>
      <c r="O19" s="277"/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277"/>
      <c r="AA19" s="277"/>
      <c r="AB19" s="277"/>
      <c r="AC19" s="277"/>
      <c r="AD19" s="277"/>
      <c r="AE19" s="277"/>
      <c r="AF19" s="277"/>
      <c r="AG19" s="277"/>
      <c r="AH19" s="277"/>
      <c r="AI19" s="277"/>
      <c r="AJ19" s="277"/>
      <c r="AK19" s="277"/>
      <c r="AL19" s="277"/>
      <c r="AM19" s="277"/>
      <c r="AN19" s="277"/>
      <c r="AO19" s="277"/>
      <c r="AP19" s="277"/>
      <c r="AQ19" s="278"/>
      <c r="BN19" s="276"/>
      <c r="BO19" s="277"/>
      <c r="BP19" s="277"/>
      <c r="BQ19" s="277"/>
      <c r="BR19" s="277"/>
      <c r="BS19" s="277"/>
      <c r="BT19" s="277"/>
      <c r="BU19" s="277"/>
      <c r="BV19" s="277"/>
      <c r="BW19" s="277"/>
      <c r="BX19" s="277"/>
      <c r="BY19" s="277"/>
      <c r="BZ19" s="277"/>
      <c r="CA19" s="277"/>
      <c r="CB19" s="277"/>
      <c r="CC19" s="277"/>
      <c r="CD19" s="277"/>
      <c r="CE19" s="277"/>
      <c r="CF19" s="277"/>
      <c r="CG19" s="277"/>
      <c r="CH19" s="277"/>
      <c r="CI19" s="277"/>
      <c r="CJ19" s="277"/>
      <c r="CK19" s="277"/>
      <c r="CL19" s="277"/>
      <c r="CM19" s="277"/>
      <c r="CN19" s="277"/>
      <c r="CO19" s="277"/>
      <c r="CP19" s="277"/>
      <c r="CQ19" s="277"/>
      <c r="CR19" s="277"/>
      <c r="CS19" s="278"/>
    </row>
    <row r="20" spans="8:97" ht="17.399999999999999" customHeight="1" x14ac:dyDescent="0.4">
      <c r="H20" s="276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  <c r="AA20" s="277"/>
      <c r="AB20" s="277"/>
      <c r="AC20" s="277"/>
      <c r="AD20" s="277"/>
      <c r="AE20" s="277"/>
      <c r="AF20" s="277"/>
      <c r="AG20" s="277"/>
      <c r="AH20" s="277"/>
      <c r="AI20" s="277"/>
      <c r="AJ20" s="277"/>
      <c r="AK20" s="277"/>
      <c r="AL20" s="277"/>
      <c r="AM20" s="277"/>
      <c r="AN20" s="277"/>
      <c r="AO20" s="277"/>
      <c r="AP20" s="277"/>
      <c r="AQ20" s="278"/>
      <c r="BN20" s="276"/>
      <c r="BO20" s="277"/>
      <c r="BP20" s="277"/>
      <c r="BQ20" s="277"/>
      <c r="BR20" s="277"/>
      <c r="BS20" s="277"/>
      <c r="BT20" s="277"/>
      <c r="BU20" s="277"/>
      <c r="BV20" s="277"/>
      <c r="BW20" s="277"/>
      <c r="BX20" s="277"/>
      <c r="BY20" s="277"/>
      <c r="BZ20" s="277"/>
      <c r="CA20" s="277"/>
      <c r="CB20" s="277"/>
      <c r="CC20" s="277"/>
      <c r="CD20" s="277"/>
      <c r="CE20" s="277"/>
      <c r="CF20" s="277"/>
      <c r="CG20" s="277"/>
      <c r="CH20" s="277"/>
      <c r="CI20" s="277"/>
      <c r="CJ20" s="277"/>
      <c r="CK20" s="277"/>
      <c r="CL20" s="277"/>
      <c r="CM20" s="277"/>
      <c r="CN20" s="277"/>
      <c r="CO20" s="277"/>
      <c r="CP20" s="277"/>
      <c r="CQ20" s="277"/>
      <c r="CR20" s="277"/>
      <c r="CS20" s="278"/>
    </row>
    <row r="21" spans="8:97" ht="17.399999999999999" customHeight="1" x14ac:dyDescent="0.4">
      <c r="H21" s="276"/>
      <c r="I21" s="277"/>
      <c r="J21" s="277"/>
      <c r="K21" s="277"/>
      <c r="L21" s="277"/>
      <c r="M21" s="277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  <c r="AA21" s="277"/>
      <c r="AB21" s="277"/>
      <c r="AC21" s="277"/>
      <c r="AD21" s="277"/>
      <c r="AE21" s="277"/>
      <c r="AF21" s="277"/>
      <c r="AG21" s="277"/>
      <c r="AH21" s="277"/>
      <c r="AI21" s="277"/>
      <c r="AJ21" s="277"/>
      <c r="AK21" s="277"/>
      <c r="AL21" s="277"/>
      <c r="AM21" s="277"/>
      <c r="AN21" s="277"/>
      <c r="AO21" s="277"/>
      <c r="AP21" s="277"/>
      <c r="AQ21" s="278"/>
      <c r="BN21" s="276"/>
      <c r="BO21" s="277"/>
      <c r="BP21" s="277"/>
      <c r="BQ21" s="277"/>
      <c r="BR21" s="277"/>
      <c r="BS21" s="277"/>
      <c r="BT21" s="277"/>
      <c r="BU21" s="277"/>
      <c r="BV21" s="277"/>
      <c r="BW21" s="277"/>
      <c r="BX21" s="277"/>
      <c r="BY21" s="277"/>
      <c r="BZ21" s="277"/>
      <c r="CA21" s="277"/>
      <c r="CB21" s="277"/>
      <c r="CC21" s="277"/>
      <c r="CD21" s="277"/>
      <c r="CE21" s="277"/>
      <c r="CF21" s="277"/>
      <c r="CG21" s="277"/>
      <c r="CH21" s="277"/>
      <c r="CI21" s="277"/>
      <c r="CJ21" s="277"/>
      <c r="CK21" s="277"/>
      <c r="CL21" s="277"/>
      <c r="CM21" s="277"/>
      <c r="CN21" s="277"/>
      <c r="CO21" s="277"/>
      <c r="CP21" s="277"/>
      <c r="CQ21" s="277"/>
      <c r="CR21" s="277"/>
      <c r="CS21" s="278"/>
    </row>
    <row r="22" spans="8:97" ht="17.399999999999999" customHeight="1" x14ac:dyDescent="0.4">
      <c r="H22" s="276"/>
      <c r="I22" s="277"/>
      <c r="J22" s="277"/>
      <c r="K22" s="277"/>
      <c r="L22" s="277"/>
      <c r="M22" s="277"/>
      <c r="N22" s="277"/>
      <c r="O22" s="277"/>
      <c r="P22" s="277"/>
      <c r="Q22" s="277"/>
      <c r="R22" s="277"/>
      <c r="S22" s="277"/>
      <c r="T22" s="277"/>
      <c r="U22" s="277"/>
      <c r="V22" s="277"/>
      <c r="W22" s="277"/>
      <c r="X22" s="277"/>
      <c r="Y22" s="277"/>
      <c r="Z22" s="277"/>
      <c r="AA22" s="277"/>
      <c r="AB22" s="277"/>
      <c r="AC22" s="277"/>
      <c r="AD22" s="277"/>
      <c r="AE22" s="277"/>
      <c r="AF22" s="277"/>
      <c r="AG22" s="277"/>
      <c r="AH22" s="277"/>
      <c r="AI22" s="277"/>
      <c r="AJ22" s="277"/>
      <c r="AK22" s="277"/>
      <c r="AL22" s="277"/>
      <c r="AM22" s="277"/>
      <c r="AN22" s="277"/>
      <c r="AO22" s="277"/>
      <c r="AP22" s="277"/>
      <c r="AQ22" s="278"/>
      <c r="BN22" s="276"/>
      <c r="BO22" s="277"/>
      <c r="BP22" s="277"/>
      <c r="BQ22" s="277"/>
      <c r="BR22" s="277"/>
      <c r="BS22" s="277"/>
      <c r="BT22" s="277"/>
      <c r="BU22" s="277"/>
      <c r="BV22" s="277"/>
      <c r="BW22" s="277"/>
      <c r="BX22" s="277"/>
      <c r="BY22" s="277"/>
      <c r="BZ22" s="277"/>
      <c r="CA22" s="277"/>
      <c r="CB22" s="277"/>
      <c r="CC22" s="277"/>
      <c r="CD22" s="277"/>
      <c r="CE22" s="277"/>
      <c r="CF22" s="277"/>
      <c r="CG22" s="277"/>
      <c r="CH22" s="277"/>
      <c r="CI22" s="277"/>
      <c r="CJ22" s="277"/>
      <c r="CK22" s="277"/>
      <c r="CL22" s="277"/>
      <c r="CM22" s="277"/>
      <c r="CN22" s="277"/>
      <c r="CO22" s="277"/>
      <c r="CP22" s="277"/>
      <c r="CQ22" s="277"/>
      <c r="CR22" s="277"/>
      <c r="CS22" s="278"/>
    </row>
    <row r="23" spans="8:97" ht="17.399999999999999" customHeight="1" x14ac:dyDescent="0.4">
      <c r="H23" s="276"/>
      <c r="I23" s="277"/>
      <c r="J23" s="277"/>
      <c r="K23" s="277"/>
      <c r="L23" s="277"/>
      <c r="M23" s="277"/>
      <c r="N23" s="277"/>
      <c r="O23" s="277"/>
      <c r="P23" s="277"/>
      <c r="Q23" s="277"/>
      <c r="R23" s="277"/>
      <c r="S23" s="277"/>
      <c r="T23" s="277"/>
      <c r="U23" s="277"/>
      <c r="V23" s="277"/>
      <c r="W23" s="277"/>
      <c r="X23" s="277"/>
      <c r="Y23" s="277"/>
      <c r="Z23" s="277"/>
      <c r="AA23" s="277"/>
      <c r="AB23" s="277"/>
      <c r="AC23" s="277"/>
      <c r="AD23" s="277"/>
      <c r="AE23" s="277"/>
      <c r="AF23" s="277"/>
      <c r="AG23" s="277"/>
      <c r="AH23" s="277"/>
      <c r="AI23" s="277"/>
      <c r="AJ23" s="277"/>
      <c r="AK23" s="277"/>
      <c r="AL23" s="277"/>
      <c r="AM23" s="277"/>
      <c r="AN23" s="277"/>
      <c r="AO23" s="277"/>
      <c r="AP23" s="277"/>
      <c r="AQ23" s="278"/>
      <c r="BN23" s="276"/>
      <c r="BO23" s="277"/>
      <c r="BP23" s="277"/>
      <c r="BQ23" s="277"/>
      <c r="BR23" s="277"/>
      <c r="BS23" s="277"/>
      <c r="BT23" s="277"/>
      <c r="BU23" s="277"/>
      <c r="BV23" s="277"/>
      <c r="BW23" s="277"/>
      <c r="BX23" s="277"/>
      <c r="BY23" s="277"/>
      <c r="BZ23" s="277"/>
      <c r="CA23" s="277"/>
      <c r="CB23" s="277"/>
      <c r="CC23" s="277"/>
      <c r="CD23" s="277"/>
      <c r="CE23" s="277"/>
      <c r="CF23" s="277"/>
      <c r="CG23" s="277"/>
      <c r="CH23" s="277"/>
      <c r="CI23" s="277"/>
      <c r="CJ23" s="277"/>
      <c r="CK23" s="277"/>
      <c r="CL23" s="277"/>
      <c r="CM23" s="277"/>
      <c r="CN23" s="277"/>
      <c r="CO23" s="277"/>
      <c r="CP23" s="277"/>
      <c r="CQ23" s="277"/>
      <c r="CR23" s="277"/>
      <c r="CS23" s="278"/>
    </row>
    <row r="24" spans="8:97" ht="17.399999999999999" customHeight="1" x14ac:dyDescent="0.4">
      <c r="H24" s="276"/>
      <c r="I24" s="277"/>
      <c r="J24" s="277"/>
      <c r="K24" s="277"/>
      <c r="L24" s="277"/>
      <c r="M24" s="277"/>
      <c r="N24" s="277"/>
      <c r="O24" s="277"/>
      <c r="P24" s="277"/>
      <c r="Q24" s="277"/>
      <c r="R24" s="277"/>
      <c r="S24" s="277"/>
      <c r="T24" s="277"/>
      <c r="U24" s="277"/>
      <c r="V24" s="277"/>
      <c r="W24" s="277"/>
      <c r="X24" s="277"/>
      <c r="Y24" s="277"/>
      <c r="Z24" s="277"/>
      <c r="AA24" s="277"/>
      <c r="AB24" s="277"/>
      <c r="AC24" s="277"/>
      <c r="AD24" s="277"/>
      <c r="AE24" s="277"/>
      <c r="AF24" s="277"/>
      <c r="AG24" s="277"/>
      <c r="AH24" s="277"/>
      <c r="AI24" s="277"/>
      <c r="AJ24" s="277"/>
      <c r="AK24" s="277"/>
      <c r="AL24" s="277"/>
      <c r="AM24" s="277"/>
      <c r="AN24" s="277"/>
      <c r="AO24" s="277"/>
      <c r="AP24" s="277"/>
      <c r="AQ24" s="278"/>
      <c r="BN24" s="276"/>
      <c r="BO24" s="277"/>
      <c r="BP24" s="277"/>
      <c r="BQ24" s="277"/>
      <c r="BR24" s="277"/>
      <c r="BS24" s="277"/>
      <c r="BT24" s="277"/>
      <c r="BU24" s="277"/>
      <c r="BV24" s="277"/>
      <c r="BW24" s="277"/>
      <c r="BX24" s="277"/>
      <c r="BY24" s="277"/>
      <c r="BZ24" s="277"/>
      <c r="CA24" s="277"/>
      <c r="CB24" s="277"/>
      <c r="CC24" s="277"/>
      <c r="CD24" s="277"/>
      <c r="CE24" s="277"/>
      <c r="CF24" s="277"/>
      <c r="CG24" s="277"/>
      <c r="CH24" s="277"/>
      <c r="CI24" s="277"/>
      <c r="CJ24" s="277"/>
      <c r="CK24" s="277"/>
      <c r="CL24" s="277"/>
      <c r="CM24" s="277"/>
      <c r="CN24" s="277"/>
      <c r="CO24" s="277"/>
      <c r="CP24" s="277"/>
      <c r="CQ24" s="277"/>
      <c r="CR24" s="277"/>
      <c r="CS24" s="278"/>
    </row>
    <row r="25" spans="8:97" ht="17.399999999999999" customHeight="1" x14ac:dyDescent="0.4">
      <c r="H25" s="276"/>
      <c r="I25" s="277"/>
      <c r="J25" s="277"/>
      <c r="K25" s="277"/>
      <c r="L25" s="277"/>
      <c r="M25" s="277"/>
      <c r="N25" s="277"/>
      <c r="O25" s="277"/>
      <c r="P25" s="277"/>
      <c r="Q25" s="277"/>
      <c r="R25" s="277"/>
      <c r="S25" s="277"/>
      <c r="T25" s="277"/>
      <c r="U25" s="277"/>
      <c r="V25" s="277"/>
      <c r="W25" s="277"/>
      <c r="X25" s="277"/>
      <c r="Y25" s="277"/>
      <c r="Z25" s="277"/>
      <c r="AA25" s="277"/>
      <c r="AB25" s="277"/>
      <c r="AC25" s="277"/>
      <c r="AD25" s="277"/>
      <c r="AE25" s="277"/>
      <c r="AF25" s="277"/>
      <c r="AG25" s="277"/>
      <c r="AH25" s="277"/>
      <c r="AI25" s="277"/>
      <c r="AJ25" s="277"/>
      <c r="AK25" s="277"/>
      <c r="AL25" s="277"/>
      <c r="AM25" s="277"/>
      <c r="AN25" s="277"/>
      <c r="AO25" s="277"/>
      <c r="AP25" s="277"/>
      <c r="AQ25" s="278"/>
      <c r="BN25" s="276"/>
      <c r="BO25" s="277"/>
      <c r="BP25" s="277"/>
      <c r="BQ25" s="277"/>
      <c r="BR25" s="277"/>
      <c r="BS25" s="277"/>
      <c r="BT25" s="277"/>
      <c r="BU25" s="277"/>
      <c r="BV25" s="277"/>
      <c r="BW25" s="277"/>
      <c r="BX25" s="277"/>
      <c r="BY25" s="277"/>
      <c r="BZ25" s="277"/>
      <c r="CA25" s="277"/>
      <c r="CB25" s="277"/>
      <c r="CC25" s="277"/>
      <c r="CD25" s="277"/>
      <c r="CE25" s="277"/>
      <c r="CF25" s="277"/>
      <c r="CG25" s="277"/>
      <c r="CH25" s="277"/>
      <c r="CI25" s="277"/>
      <c r="CJ25" s="277"/>
      <c r="CK25" s="277"/>
      <c r="CL25" s="277"/>
      <c r="CM25" s="277"/>
      <c r="CN25" s="277"/>
      <c r="CO25" s="277"/>
      <c r="CP25" s="277"/>
      <c r="CQ25" s="277"/>
      <c r="CR25" s="277"/>
      <c r="CS25" s="278"/>
    </row>
    <row r="26" spans="8:97" ht="17.399999999999999" customHeight="1" x14ac:dyDescent="0.4">
      <c r="H26" s="276"/>
      <c r="I26" s="277"/>
      <c r="J26" s="277"/>
      <c r="K26" s="277"/>
      <c r="L26" s="277"/>
      <c r="M26" s="277"/>
      <c r="N26" s="277"/>
      <c r="O26" s="277"/>
      <c r="P26" s="277"/>
      <c r="Q26" s="277"/>
      <c r="R26" s="277"/>
      <c r="S26" s="277"/>
      <c r="T26" s="277"/>
      <c r="U26" s="277"/>
      <c r="V26" s="277"/>
      <c r="W26" s="277"/>
      <c r="X26" s="277"/>
      <c r="Y26" s="277"/>
      <c r="Z26" s="277"/>
      <c r="AA26" s="277"/>
      <c r="AB26" s="277"/>
      <c r="AC26" s="277"/>
      <c r="AD26" s="277"/>
      <c r="AE26" s="277"/>
      <c r="AF26" s="277"/>
      <c r="AG26" s="277"/>
      <c r="AH26" s="277"/>
      <c r="AI26" s="277"/>
      <c r="AJ26" s="277"/>
      <c r="AK26" s="277"/>
      <c r="AL26" s="277"/>
      <c r="AM26" s="277"/>
      <c r="AN26" s="277"/>
      <c r="AO26" s="277"/>
      <c r="AP26" s="277"/>
      <c r="AQ26" s="278"/>
      <c r="BN26" s="276"/>
      <c r="BO26" s="277"/>
      <c r="BP26" s="277"/>
      <c r="BQ26" s="277"/>
      <c r="BR26" s="277"/>
      <c r="BS26" s="277"/>
      <c r="BT26" s="277"/>
      <c r="BU26" s="277"/>
      <c r="BV26" s="277"/>
      <c r="BW26" s="277"/>
      <c r="BX26" s="277"/>
      <c r="BY26" s="277"/>
      <c r="BZ26" s="277"/>
      <c r="CA26" s="277"/>
      <c r="CB26" s="277"/>
      <c r="CC26" s="277"/>
      <c r="CD26" s="277"/>
      <c r="CE26" s="277"/>
      <c r="CF26" s="277"/>
      <c r="CG26" s="277"/>
      <c r="CH26" s="277"/>
      <c r="CI26" s="277"/>
      <c r="CJ26" s="277"/>
      <c r="CK26" s="277"/>
      <c r="CL26" s="277"/>
      <c r="CM26" s="277"/>
      <c r="CN26" s="277"/>
      <c r="CO26" s="277"/>
      <c r="CP26" s="277"/>
      <c r="CQ26" s="277"/>
      <c r="CR26" s="277"/>
      <c r="CS26" s="278"/>
    </row>
    <row r="27" spans="8:97" ht="17.399999999999999" customHeight="1" x14ac:dyDescent="0.4">
      <c r="H27" s="276"/>
      <c r="I27" s="277"/>
      <c r="J27" s="277"/>
      <c r="K27" s="277"/>
      <c r="L27" s="277"/>
      <c r="M27" s="277"/>
      <c r="N27" s="277"/>
      <c r="O27" s="277"/>
      <c r="P27" s="277"/>
      <c r="Q27" s="277"/>
      <c r="R27" s="277"/>
      <c r="S27" s="277"/>
      <c r="T27" s="277"/>
      <c r="U27" s="277"/>
      <c r="V27" s="277"/>
      <c r="W27" s="277"/>
      <c r="X27" s="277"/>
      <c r="Y27" s="277"/>
      <c r="Z27" s="277"/>
      <c r="AA27" s="277"/>
      <c r="AB27" s="277"/>
      <c r="AC27" s="277"/>
      <c r="AD27" s="277"/>
      <c r="AE27" s="277"/>
      <c r="AF27" s="277"/>
      <c r="AG27" s="277"/>
      <c r="AH27" s="277"/>
      <c r="AI27" s="277"/>
      <c r="AJ27" s="277"/>
      <c r="AK27" s="277"/>
      <c r="AL27" s="277"/>
      <c r="AM27" s="277"/>
      <c r="AN27" s="277"/>
      <c r="AO27" s="277"/>
      <c r="AP27" s="277"/>
      <c r="AQ27" s="278"/>
      <c r="BN27" s="276"/>
      <c r="BO27" s="277"/>
      <c r="BP27" s="277"/>
      <c r="BQ27" s="277"/>
      <c r="BR27" s="277"/>
      <c r="BS27" s="277"/>
      <c r="BT27" s="277"/>
      <c r="BU27" s="277"/>
      <c r="BV27" s="277"/>
      <c r="BW27" s="277"/>
      <c r="BX27" s="277"/>
      <c r="BY27" s="277"/>
      <c r="BZ27" s="277"/>
      <c r="CA27" s="277"/>
      <c r="CB27" s="277"/>
      <c r="CC27" s="277"/>
      <c r="CD27" s="277"/>
      <c r="CE27" s="277"/>
      <c r="CF27" s="277"/>
      <c r="CG27" s="277"/>
      <c r="CH27" s="277"/>
      <c r="CI27" s="277"/>
      <c r="CJ27" s="277"/>
      <c r="CK27" s="277"/>
      <c r="CL27" s="277"/>
      <c r="CM27" s="277"/>
      <c r="CN27" s="277"/>
      <c r="CO27" s="277"/>
      <c r="CP27" s="277"/>
      <c r="CQ27" s="277"/>
      <c r="CR27" s="277"/>
      <c r="CS27" s="278"/>
    </row>
    <row r="28" spans="8:97" ht="17.399999999999999" customHeight="1" x14ac:dyDescent="0.4">
      <c r="H28" s="276"/>
      <c r="I28" s="277"/>
      <c r="J28" s="277"/>
      <c r="K28" s="277"/>
      <c r="L28" s="277"/>
      <c r="M28" s="277"/>
      <c r="N28" s="277"/>
      <c r="O28" s="277"/>
      <c r="P28" s="277"/>
      <c r="Q28" s="277"/>
      <c r="R28" s="277"/>
      <c r="S28" s="277"/>
      <c r="T28" s="277"/>
      <c r="U28" s="277"/>
      <c r="V28" s="277"/>
      <c r="W28" s="277"/>
      <c r="X28" s="277"/>
      <c r="Y28" s="277"/>
      <c r="Z28" s="277"/>
      <c r="AA28" s="277"/>
      <c r="AB28" s="277"/>
      <c r="AC28" s="277"/>
      <c r="AD28" s="277"/>
      <c r="AE28" s="277"/>
      <c r="AF28" s="277"/>
      <c r="AG28" s="277"/>
      <c r="AH28" s="277"/>
      <c r="AI28" s="277"/>
      <c r="AJ28" s="277"/>
      <c r="AK28" s="277"/>
      <c r="AL28" s="277"/>
      <c r="AM28" s="277"/>
      <c r="AN28" s="277"/>
      <c r="AO28" s="277"/>
      <c r="AP28" s="277"/>
      <c r="AQ28" s="278"/>
      <c r="BN28" s="276"/>
      <c r="BO28" s="277"/>
      <c r="BP28" s="277"/>
      <c r="BQ28" s="277"/>
      <c r="BR28" s="277"/>
      <c r="BS28" s="277"/>
      <c r="BT28" s="277"/>
      <c r="BU28" s="277"/>
      <c r="BV28" s="277"/>
      <c r="BW28" s="277"/>
      <c r="BX28" s="277"/>
      <c r="BY28" s="277"/>
      <c r="BZ28" s="277"/>
      <c r="CA28" s="277"/>
      <c r="CB28" s="277"/>
      <c r="CC28" s="277"/>
      <c r="CD28" s="277"/>
      <c r="CE28" s="277"/>
      <c r="CF28" s="277"/>
      <c r="CG28" s="277"/>
      <c r="CH28" s="277"/>
      <c r="CI28" s="277"/>
      <c r="CJ28" s="277"/>
      <c r="CK28" s="277"/>
      <c r="CL28" s="277"/>
      <c r="CM28" s="277"/>
      <c r="CN28" s="277"/>
      <c r="CO28" s="277"/>
      <c r="CP28" s="277"/>
      <c r="CQ28" s="277"/>
      <c r="CR28" s="277"/>
      <c r="CS28" s="278"/>
    </row>
    <row r="29" spans="8:97" ht="17.399999999999999" customHeight="1" x14ac:dyDescent="0.4">
      <c r="H29" s="276"/>
      <c r="I29" s="277"/>
      <c r="J29" s="277"/>
      <c r="K29" s="277"/>
      <c r="L29" s="277"/>
      <c r="M29" s="277"/>
      <c r="N29" s="277"/>
      <c r="O29" s="277"/>
      <c r="P29" s="277"/>
      <c r="Q29" s="277"/>
      <c r="R29" s="277"/>
      <c r="S29" s="277"/>
      <c r="T29" s="277"/>
      <c r="U29" s="277"/>
      <c r="V29" s="277"/>
      <c r="W29" s="277"/>
      <c r="X29" s="277"/>
      <c r="Y29" s="277"/>
      <c r="Z29" s="277"/>
      <c r="AA29" s="277"/>
      <c r="AB29" s="277"/>
      <c r="AC29" s="277"/>
      <c r="AD29" s="277"/>
      <c r="AE29" s="277"/>
      <c r="AF29" s="277"/>
      <c r="AG29" s="277"/>
      <c r="AH29" s="277"/>
      <c r="AI29" s="277"/>
      <c r="AJ29" s="277"/>
      <c r="AK29" s="277"/>
      <c r="AL29" s="277"/>
      <c r="AM29" s="277"/>
      <c r="AN29" s="277"/>
      <c r="AO29" s="277"/>
      <c r="AP29" s="277"/>
      <c r="AQ29" s="278"/>
      <c r="BN29" s="276"/>
      <c r="BO29" s="277"/>
      <c r="BP29" s="277"/>
      <c r="BQ29" s="277"/>
      <c r="BR29" s="277"/>
      <c r="BS29" s="277"/>
      <c r="BT29" s="277"/>
      <c r="BU29" s="277"/>
      <c r="BV29" s="277"/>
      <c r="BW29" s="277"/>
      <c r="BX29" s="277"/>
      <c r="BY29" s="277"/>
      <c r="BZ29" s="277"/>
      <c r="CA29" s="277"/>
      <c r="CB29" s="277"/>
      <c r="CC29" s="277"/>
      <c r="CD29" s="277"/>
      <c r="CE29" s="277"/>
      <c r="CF29" s="277"/>
      <c r="CG29" s="277"/>
      <c r="CH29" s="277"/>
      <c r="CI29" s="277"/>
      <c r="CJ29" s="277"/>
      <c r="CK29" s="277"/>
      <c r="CL29" s="277"/>
      <c r="CM29" s="277"/>
      <c r="CN29" s="277"/>
      <c r="CO29" s="277"/>
      <c r="CP29" s="277"/>
      <c r="CQ29" s="277"/>
      <c r="CR29" s="277"/>
      <c r="CS29" s="278"/>
    </row>
    <row r="30" spans="8:97" ht="17.399999999999999" customHeight="1" x14ac:dyDescent="0.4">
      <c r="H30" s="276"/>
      <c r="I30" s="277"/>
      <c r="J30" s="277"/>
      <c r="K30" s="277"/>
      <c r="L30" s="277"/>
      <c r="M30" s="277"/>
      <c r="N30" s="277"/>
      <c r="O30" s="277"/>
      <c r="P30" s="277"/>
      <c r="Q30" s="277"/>
      <c r="R30" s="277"/>
      <c r="S30" s="277"/>
      <c r="T30" s="277"/>
      <c r="U30" s="277"/>
      <c r="V30" s="277"/>
      <c r="W30" s="277"/>
      <c r="X30" s="277"/>
      <c r="Y30" s="277"/>
      <c r="Z30" s="277"/>
      <c r="AA30" s="277"/>
      <c r="AB30" s="277"/>
      <c r="AC30" s="277"/>
      <c r="AD30" s="277"/>
      <c r="AE30" s="277"/>
      <c r="AF30" s="277"/>
      <c r="AG30" s="277"/>
      <c r="AH30" s="277"/>
      <c r="AI30" s="277"/>
      <c r="AJ30" s="277"/>
      <c r="AK30" s="277"/>
      <c r="AL30" s="277"/>
      <c r="AM30" s="277"/>
      <c r="AN30" s="277"/>
      <c r="AO30" s="277"/>
      <c r="AP30" s="277"/>
      <c r="AQ30" s="278"/>
      <c r="BN30" s="276"/>
      <c r="BO30" s="277"/>
      <c r="BP30" s="277"/>
      <c r="BQ30" s="277"/>
      <c r="BR30" s="277"/>
      <c r="BS30" s="277"/>
      <c r="BT30" s="277"/>
      <c r="BU30" s="277"/>
      <c r="BV30" s="277"/>
      <c r="BW30" s="277"/>
      <c r="BX30" s="277"/>
      <c r="BY30" s="277"/>
      <c r="BZ30" s="277"/>
      <c r="CA30" s="277"/>
      <c r="CB30" s="277"/>
      <c r="CC30" s="277"/>
      <c r="CD30" s="277"/>
      <c r="CE30" s="277"/>
      <c r="CF30" s="277"/>
      <c r="CG30" s="277"/>
      <c r="CH30" s="277"/>
      <c r="CI30" s="277"/>
      <c r="CJ30" s="277"/>
      <c r="CK30" s="277"/>
      <c r="CL30" s="277"/>
      <c r="CM30" s="277"/>
      <c r="CN30" s="277"/>
      <c r="CO30" s="277"/>
      <c r="CP30" s="277"/>
      <c r="CQ30" s="277"/>
      <c r="CR30" s="277"/>
      <c r="CS30" s="278"/>
    </row>
    <row r="31" spans="8:97" ht="17.399999999999999" customHeight="1" x14ac:dyDescent="0.4">
      <c r="H31" s="276"/>
      <c r="I31" s="277"/>
      <c r="J31" s="277"/>
      <c r="K31" s="277"/>
      <c r="L31" s="277"/>
      <c r="M31" s="277"/>
      <c r="N31" s="277"/>
      <c r="O31" s="277"/>
      <c r="P31" s="277"/>
      <c r="Q31" s="277"/>
      <c r="R31" s="277"/>
      <c r="S31" s="277"/>
      <c r="T31" s="277"/>
      <c r="U31" s="277"/>
      <c r="V31" s="277"/>
      <c r="W31" s="277"/>
      <c r="X31" s="277"/>
      <c r="Y31" s="277"/>
      <c r="Z31" s="277"/>
      <c r="AA31" s="277"/>
      <c r="AB31" s="277"/>
      <c r="AC31" s="277"/>
      <c r="AD31" s="277"/>
      <c r="AE31" s="277"/>
      <c r="AF31" s="277"/>
      <c r="AG31" s="277"/>
      <c r="AH31" s="277"/>
      <c r="AI31" s="277"/>
      <c r="AJ31" s="277"/>
      <c r="AK31" s="277"/>
      <c r="AL31" s="277"/>
      <c r="AM31" s="277"/>
      <c r="AN31" s="277"/>
      <c r="AO31" s="277"/>
      <c r="AP31" s="277"/>
      <c r="AQ31" s="278"/>
      <c r="BN31" s="276"/>
      <c r="BO31" s="277"/>
      <c r="BP31" s="277"/>
      <c r="BQ31" s="277"/>
      <c r="BR31" s="277"/>
      <c r="BS31" s="277"/>
      <c r="BT31" s="277"/>
      <c r="BU31" s="277"/>
      <c r="BV31" s="277"/>
      <c r="BW31" s="277"/>
      <c r="BX31" s="277"/>
      <c r="BY31" s="277"/>
      <c r="BZ31" s="277"/>
      <c r="CA31" s="277"/>
      <c r="CB31" s="277"/>
      <c r="CC31" s="277"/>
      <c r="CD31" s="277"/>
      <c r="CE31" s="277"/>
      <c r="CF31" s="277"/>
      <c r="CG31" s="277"/>
      <c r="CH31" s="277"/>
      <c r="CI31" s="277"/>
      <c r="CJ31" s="277"/>
      <c r="CK31" s="277"/>
      <c r="CL31" s="277"/>
      <c r="CM31" s="277"/>
      <c r="CN31" s="277"/>
      <c r="CO31" s="277"/>
      <c r="CP31" s="277"/>
      <c r="CQ31" s="277"/>
      <c r="CR31" s="277"/>
      <c r="CS31" s="278"/>
    </row>
    <row r="32" spans="8:97" ht="17.399999999999999" customHeight="1" x14ac:dyDescent="0.4">
      <c r="H32" s="276"/>
      <c r="I32" s="277"/>
      <c r="J32" s="277"/>
      <c r="K32" s="277"/>
      <c r="L32" s="277"/>
      <c r="M32" s="277"/>
      <c r="N32" s="277"/>
      <c r="O32" s="277"/>
      <c r="P32" s="277"/>
      <c r="Q32" s="277"/>
      <c r="R32" s="277"/>
      <c r="S32" s="277"/>
      <c r="T32" s="277"/>
      <c r="U32" s="277"/>
      <c r="V32" s="277"/>
      <c r="W32" s="277"/>
      <c r="X32" s="277"/>
      <c r="Y32" s="277"/>
      <c r="Z32" s="277"/>
      <c r="AA32" s="277"/>
      <c r="AB32" s="277"/>
      <c r="AC32" s="277"/>
      <c r="AD32" s="277"/>
      <c r="AE32" s="277"/>
      <c r="AF32" s="277"/>
      <c r="AG32" s="277"/>
      <c r="AH32" s="277"/>
      <c r="AI32" s="277"/>
      <c r="AJ32" s="277"/>
      <c r="AK32" s="277"/>
      <c r="AL32" s="277"/>
      <c r="AM32" s="277"/>
      <c r="AN32" s="277"/>
      <c r="AO32" s="277"/>
      <c r="AP32" s="277"/>
      <c r="AQ32" s="278"/>
      <c r="BN32" s="276"/>
      <c r="BO32" s="277"/>
      <c r="BP32" s="277"/>
      <c r="BQ32" s="277"/>
      <c r="BR32" s="277"/>
      <c r="BS32" s="277"/>
      <c r="BT32" s="277"/>
      <c r="BU32" s="277"/>
      <c r="BV32" s="277"/>
      <c r="BW32" s="277"/>
      <c r="BX32" s="277"/>
      <c r="BY32" s="277"/>
      <c r="BZ32" s="277"/>
      <c r="CA32" s="277"/>
      <c r="CB32" s="277"/>
      <c r="CC32" s="277"/>
      <c r="CD32" s="277"/>
      <c r="CE32" s="277"/>
      <c r="CF32" s="277"/>
      <c r="CG32" s="277"/>
      <c r="CH32" s="277"/>
      <c r="CI32" s="277"/>
      <c r="CJ32" s="277"/>
      <c r="CK32" s="277"/>
      <c r="CL32" s="277"/>
      <c r="CM32" s="277"/>
      <c r="CN32" s="277"/>
      <c r="CO32" s="277"/>
      <c r="CP32" s="277"/>
      <c r="CQ32" s="277"/>
      <c r="CR32" s="277"/>
      <c r="CS32" s="278"/>
    </row>
    <row r="33" spans="8:97" ht="17.399999999999999" customHeight="1" x14ac:dyDescent="0.4">
      <c r="H33" s="276"/>
      <c r="I33" s="277"/>
      <c r="J33" s="277"/>
      <c r="K33" s="277"/>
      <c r="L33" s="277"/>
      <c r="M33" s="277"/>
      <c r="N33" s="277"/>
      <c r="O33" s="277"/>
      <c r="P33" s="277"/>
      <c r="Q33" s="277"/>
      <c r="R33" s="277"/>
      <c r="S33" s="277"/>
      <c r="T33" s="277"/>
      <c r="U33" s="277"/>
      <c r="V33" s="277"/>
      <c r="W33" s="277"/>
      <c r="X33" s="277"/>
      <c r="Y33" s="277"/>
      <c r="Z33" s="277"/>
      <c r="AA33" s="277"/>
      <c r="AB33" s="277"/>
      <c r="AC33" s="277"/>
      <c r="AD33" s="277"/>
      <c r="AE33" s="277"/>
      <c r="AF33" s="277"/>
      <c r="AG33" s="277"/>
      <c r="AH33" s="277"/>
      <c r="AI33" s="277"/>
      <c r="AJ33" s="277"/>
      <c r="AK33" s="277"/>
      <c r="AL33" s="277"/>
      <c r="AM33" s="277"/>
      <c r="AN33" s="277"/>
      <c r="AO33" s="277"/>
      <c r="AP33" s="277"/>
      <c r="AQ33" s="278"/>
      <c r="BN33" s="276"/>
      <c r="BO33" s="277"/>
      <c r="BP33" s="277"/>
      <c r="BQ33" s="277"/>
      <c r="BR33" s="277"/>
      <c r="BS33" s="277"/>
      <c r="BT33" s="277"/>
      <c r="BU33" s="277"/>
      <c r="BV33" s="277"/>
      <c r="BW33" s="277"/>
      <c r="BX33" s="277"/>
      <c r="BY33" s="277"/>
      <c r="BZ33" s="277"/>
      <c r="CA33" s="277"/>
      <c r="CB33" s="277"/>
      <c r="CC33" s="277"/>
      <c r="CD33" s="277"/>
      <c r="CE33" s="277"/>
      <c r="CF33" s="277"/>
      <c r="CG33" s="277"/>
      <c r="CH33" s="277"/>
      <c r="CI33" s="277"/>
      <c r="CJ33" s="277"/>
      <c r="CK33" s="277"/>
      <c r="CL33" s="277"/>
      <c r="CM33" s="277"/>
      <c r="CN33" s="277"/>
      <c r="CO33" s="277"/>
      <c r="CP33" s="277"/>
      <c r="CQ33" s="277"/>
      <c r="CR33" s="277"/>
      <c r="CS33" s="278"/>
    </row>
    <row r="34" spans="8:97" ht="17.399999999999999" customHeight="1" x14ac:dyDescent="0.4">
      <c r="H34" s="276"/>
      <c r="I34" s="277"/>
      <c r="J34" s="277"/>
      <c r="K34" s="277"/>
      <c r="L34" s="277"/>
      <c r="M34" s="277"/>
      <c r="N34" s="277"/>
      <c r="O34" s="277"/>
      <c r="P34" s="277"/>
      <c r="Q34" s="277"/>
      <c r="R34" s="277"/>
      <c r="S34" s="277"/>
      <c r="T34" s="277"/>
      <c r="U34" s="277"/>
      <c r="V34" s="277"/>
      <c r="W34" s="277"/>
      <c r="X34" s="277"/>
      <c r="Y34" s="277"/>
      <c r="Z34" s="277"/>
      <c r="AA34" s="277"/>
      <c r="AB34" s="277"/>
      <c r="AC34" s="277"/>
      <c r="AD34" s="277"/>
      <c r="AE34" s="277"/>
      <c r="AF34" s="277"/>
      <c r="AG34" s="277"/>
      <c r="AH34" s="277"/>
      <c r="AI34" s="277"/>
      <c r="AJ34" s="277"/>
      <c r="AK34" s="277"/>
      <c r="AL34" s="277"/>
      <c r="AM34" s="277"/>
      <c r="AN34" s="277"/>
      <c r="AO34" s="277"/>
      <c r="AP34" s="277"/>
      <c r="AQ34" s="278"/>
      <c r="BN34" s="276"/>
      <c r="BO34" s="277"/>
      <c r="BP34" s="277"/>
      <c r="BQ34" s="277"/>
      <c r="BR34" s="277"/>
      <c r="BS34" s="277"/>
      <c r="BT34" s="277"/>
      <c r="BU34" s="277"/>
      <c r="BV34" s="277"/>
      <c r="BW34" s="277"/>
      <c r="BX34" s="277"/>
      <c r="BY34" s="277"/>
      <c r="BZ34" s="277"/>
      <c r="CA34" s="277"/>
      <c r="CB34" s="277"/>
      <c r="CC34" s="277"/>
      <c r="CD34" s="277"/>
      <c r="CE34" s="277"/>
      <c r="CF34" s="277"/>
      <c r="CG34" s="277"/>
      <c r="CH34" s="277"/>
      <c r="CI34" s="277"/>
      <c r="CJ34" s="277"/>
      <c r="CK34" s="277"/>
      <c r="CL34" s="277"/>
      <c r="CM34" s="277"/>
      <c r="CN34" s="277"/>
      <c r="CO34" s="277"/>
      <c r="CP34" s="277"/>
      <c r="CQ34" s="277"/>
      <c r="CR34" s="277"/>
      <c r="CS34" s="278"/>
    </row>
    <row r="35" spans="8:97" ht="17.399999999999999" customHeight="1" x14ac:dyDescent="0.4">
      <c r="H35" s="276"/>
      <c r="I35" s="277"/>
      <c r="J35" s="277"/>
      <c r="K35" s="277"/>
      <c r="L35" s="277"/>
      <c r="M35" s="277"/>
      <c r="N35" s="277"/>
      <c r="O35" s="277"/>
      <c r="P35" s="277"/>
      <c r="Q35" s="277"/>
      <c r="R35" s="277"/>
      <c r="S35" s="277"/>
      <c r="T35" s="277"/>
      <c r="U35" s="277"/>
      <c r="V35" s="277"/>
      <c r="W35" s="277"/>
      <c r="X35" s="277"/>
      <c r="Y35" s="277"/>
      <c r="Z35" s="277"/>
      <c r="AA35" s="277"/>
      <c r="AB35" s="277"/>
      <c r="AC35" s="277"/>
      <c r="AD35" s="277"/>
      <c r="AE35" s="277"/>
      <c r="AF35" s="277"/>
      <c r="AG35" s="277"/>
      <c r="AH35" s="277"/>
      <c r="AI35" s="277"/>
      <c r="AJ35" s="277"/>
      <c r="AK35" s="277"/>
      <c r="AL35" s="277"/>
      <c r="AM35" s="277"/>
      <c r="AN35" s="277"/>
      <c r="AO35" s="277"/>
      <c r="AP35" s="277"/>
      <c r="AQ35" s="278"/>
      <c r="BN35" s="276"/>
      <c r="BO35" s="277"/>
      <c r="BP35" s="277"/>
      <c r="BQ35" s="277"/>
      <c r="BR35" s="277"/>
      <c r="BS35" s="277"/>
      <c r="BT35" s="277"/>
      <c r="BU35" s="277"/>
      <c r="BV35" s="277"/>
      <c r="BW35" s="277"/>
      <c r="BX35" s="277"/>
      <c r="BY35" s="277"/>
      <c r="BZ35" s="277"/>
      <c r="CA35" s="277"/>
      <c r="CB35" s="277"/>
      <c r="CC35" s="277"/>
      <c r="CD35" s="277"/>
      <c r="CE35" s="277"/>
      <c r="CF35" s="277"/>
      <c r="CG35" s="277"/>
      <c r="CH35" s="277"/>
      <c r="CI35" s="277"/>
      <c r="CJ35" s="277"/>
      <c r="CK35" s="277"/>
      <c r="CL35" s="277"/>
      <c r="CM35" s="277"/>
      <c r="CN35" s="277"/>
      <c r="CO35" s="277"/>
      <c r="CP35" s="277"/>
      <c r="CQ35" s="277"/>
      <c r="CR35" s="277"/>
      <c r="CS35" s="278"/>
    </row>
    <row r="36" spans="8:97" ht="17.399999999999999" customHeight="1" x14ac:dyDescent="0.4">
      <c r="H36" s="276"/>
      <c r="I36" s="277"/>
      <c r="J36" s="277"/>
      <c r="K36" s="277"/>
      <c r="L36" s="277"/>
      <c r="M36" s="277"/>
      <c r="N36" s="277"/>
      <c r="O36" s="277"/>
      <c r="P36" s="277"/>
      <c r="Q36" s="277"/>
      <c r="R36" s="277"/>
      <c r="S36" s="277"/>
      <c r="T36" s="277"/>
      <c r="U36" s="277"/>
      <c r="V36" s="277"/>
      <c r="W36" s="277"/>
      <c r="X36" s="277"/>
      <c r="Y36" s="277"/>
      <c r="Z36" s="277"/>
      <c r="AA36" s="277"/>
      <c r="AB36" s="277"/>
      <c r="AC36" s="277"/>
      <c r="AD36" s="277"/>
      <c r="AE36" s="277"/>
      <c r="AF36" s="277"/>
      <c r="AG36" s="277"/>
      <c r="AH36" s="277"/>
      <c r="AI36" s="277"/>
      <c r="AJ36" s="277"/>
      <c r="AK36" s="277"/>
      <c r="AL36" s="277"/>
      <c r="AM36" s="277"/>
      <c r="AN36" s="277"/>
      <c r="AO36" s="277"/>
      <c r="AP36" s="277"/>
      <c r="AQ36" s="278"/>
      <c r="BN36" s="276"/>
      <c r="BO36" s="277"/>
      <c r="BP36" s="277"/>
      <c r="BQ36" s="277"/>
      <c r="BR36" s="277"/>
      <c r="BS36" s="277"/>
      <c r="BT36" s="277"/>
      <c r="BU36" s="277"/>
      <c r="BV36" s="277"/>
      <c r="BW36" s="277"/>
      <c r="BX36" s="277"/>
      <c r="BY36" s="277"/>
      <c r="BZ36" s="277"/>
      <c r="CA36" s="277"/>
      <c r="CB36" s="277"/>
      <c r="CC36" s="277"/>
      <c r="CD36" s="277"/>
      <c r="CE36" s="277"/>
      <c r="CF36" s="277"/>
      <c r="CG36" s="277"/>
      <c r="CH36" s="277"/>
      <c r="CI36" s="277"/>
      <c r="CJ36" s="277"/>
      <c r="CK36" s="277"/>
      <c r="CL36" s="277"/>
      <c r="CM36" s="277"/>
      <c r="CN36" s="277"/>
      <c r="CO36" s="277"/>
      <c r="CP36" s="277"/>
      <c r="CQ36" s="277"/>
      <c r="CR36" s="277"/>
      <c r="CS36" s="278"/>
    </row>
    <row r="37" spans="8:97" ht="17.399999999999999" customHeight="1" x14ac:dyDescent="0.4">
      <c r="H37" s="276"/>
      <c r="I37" s="277"/>
      <c r="J37" s="277"/>
      <c r="K37" s="277"/>
      <c r="L37" s="277"/>
      <c r="M37" s="277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77"/>
      <c r="AB37" s="277"/>
      <c r="AC37" s="277"/>
      <c r="AD37" s="277"/>
      <c r="AE37" s="277"/>
      <c r="AF37" s="277"/>
      <c r="AG37" s="277"/>
      <c r="AH37" s="277"/>
      <c r="AI37" s="277"/>
      <c r="AJ37" s="277"/>
      <c r="AK37" s="277"/>
      <c r="AL37" s="277"/>
      <c r="AM37" s="277"/>
      <c r="AN37" s="277"/>
      <c r="AO37" s="277"/>
      <c r="AP37" s="277"/>
      <c r="AQ37" s="278"/>
      <c r="BN37" s="276"/>
      <c r="BO37" s="277"/>
      <c r="BP37" s="277"/>
      <c r="BQ37" s="277"/>
      <c r="BR37" s="277"/>
      <c r="BS37" s="277"/>
      <c r="BT37" s="277"/>
      <c r="BU37" s="277"/>
      <c r="BV37" s="277"/>
      <c r="BW37" s="277"/>
      <c r="BX37" s="277"/>
      <c r="BY37" s="277"/>
      <c r="BZ37" s="277"/>
      <c r="CA37" s="277"/>
      <c r="CB37" s="277"/>
      <c r="CC37" s="277"/>
      <c r="CD37" s="277"/>
      <c r="CE37" s="277"/>
      <c r="CF37" s="277"/>
      <c r="CG37" s="277"/>
      <c r="CH37" s="277"/>
      <c r="CI37" s="277"/>
      <c r="CJ37" s="277"/>
      <c r="CK37" s="277"/>
      <c r="CL37" s="277"/>
      <c r="CM37" s="277"/>
      <c r="CN37" s="277"/>
      <c r="CO37" s="277"/>
      <c r="CP37" s="277"/>
      <c r="CQ37" s="277"/>
      <c r="CR37" s="277"/>
      <c r="CS37" s="278"/>
    </row>
    <row r="38" spans="8:97" ht="17.399999999999999" customHeight="1" x14ac:dyDescent="0.4">
      <c r="H38" s="276"/>
      <c r="I38" s="277"/>
      <c r="J38" s="277"/>
      <c r="K38" s="277"/>
      <c r="L38" s="277"/>
      <c r="M38" s="277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77"/>
      <c r="AB38" s="277"/>
      <c r="AC38" s="277"/>
      <c r="AD38" s="277"/>
      <c r="AE38" s="277"/>
      <c r="AF38" s="277"/>
      <c r="AG38" s="277"/>
      <c r="AH38" s="277"/>
      <c r="AI38" s="277"/>
      <c r="AJ38" s="277"/>
      <c r="AK38" s="277"/>
      <c r="AL38" s="277"/>
      <c r="AM38" s="277"/>
      <c r="AN38" s="277"/>
      <c r="AO38" s="277"/>
      <c r="AP38" s="277"/>
      <c r="AQ38" s="278"/>
      <c r="BN38" s="276"/>
      <c r="BO38" s="277"/>
      <c r="BP38" s="277"/>
      <c r="BQ38" s="277"/>
      <c r="BR38" s="277"/>
      <c r="BS38" s="277"/>
      <c r="BT38" s="277"/>
      <c r="BU38" s="277"/>
      <c r="BV38" s="277"/>
      <c r="BW38" s="277"/>
      <c r="BX38" s="277"/>
      <c r="BY38" s="277"/>
      <c r="BZ38" s="277"/>
      <c r="CA38" s="277"/>
      <c r="CB38" s="277"/>
      <c r="CC38" s="277"/>
      <c r="CD38" s="277"/>
      <c r="CE38" s="277"/>
      <c r="CF38" s="277"/>
      <c r="CG38" s="277"/>
      <c r="CH38" s="277"/>
      <c r="CI38" s="277"/>
      <c r="CJ38" s="277"/>
      <c r="CK38" s="277"/>
      <c r="CL38" s="277"/>
      <c r="CM38" s="277"/>
      <c r="CN38" s="277"/>
      <c r="CO38" s="277"/>
      <c r="CP38" s="277"/>
      <c r="CQ38" s="277"/>
      <c r="CR38" s="277"/>
      <c r="CS38" s="278"/>
    </row>
    <row r="39" spans="8:97" ht="17.399999999999999" customHeight="1" x14ac:dyDescent="0.4">
      <c r="H39" s="276"/>
      <c r="I39" s="277"/>
      <c r="J39" s="277"/>
      <c r="K39" s="277"/>
      <c r="L39" s="277"/>
      <c r="M39" s="277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77"/>
      <c r="AC39" s="277"/>
      <c r="AD39" s="277"/>
      <c r="AE39" s="277"/>
      <c r="AF39" s="277"/>
      <c r="AG39" s="277"/>
      <c r="AH39" s="277"/>
      <c r="AI39" s="277"/>
      <c r="AJ39" s="277"/>
      <c r="AK39" s="277"/>
      <c r="AL39" s="277"/>
      <c r="AM39" s="277"/>
      <c r="AN39" s="277"/>
      <c r="AO39" s="277"/>
      <c r="AP39" s="277"/>
      <c r="AQ39" s="278"/>
      <c r="BN39" s="276"/>
      <c r="BO39" s="277"/>
      <c r="BP39" s="277"/>
      <c r="BQ39" s="277"/>
      <c r="BR39" s="277"/>
      <c r="BS39" s="277"/>
      <c r="BT39" s="277"/>
      <c r="BU39" s="277"/>
      <c r="BV39" s="277"/>
      <c r="BW39" s="277"/>
      <c r="BX39" s="277"/>
      <c r="BY39" s="277"/>
      <c r="BZ39" s="277"/>
      <c r="CA39" s="277"/>
      <c r="CB39" s="277"/>
      <c r="CC39" s="277"/>
      <c r="CD39" s="277"/>
      <c r="CE39" s="277"/>
      <c r="CF39" s="277"/>
      <c r="CG39" s="277"/>
      <c r="CH39" s="277"/>
      <c r="CI39" s="277"/>
      <c r="CJ39" s="277"/>
      <c r="CK39" s="277"/>
      <c r="CL39" s="277"/>
      <c r="CM39" s="277"/>
      <c r="CN39" s="277"/>
      <c r="CO39" s="277"/>
      <c r="CP39" s="277"/>
      <c r="CQ39" s="277"/>
      <c r="CR39" s="277"/>
      <c r="CS39" s="278"/>
    </row>
    <row r="40" spans="8:97" ht="18" customHeight="1" thickBot="1" x14ac:dyDescent="0.45">
      <c r="H40" s="276"/>
      <c r="I40" s="277"/>
      <c r="J40" s="277"/>
      <c r="K40" s="277"/>
      <c r="L40" s="277"/>
      <c r="M40" s="277"/>
      <c r="N40" s="277"/>
      <c r="O40" s="277"/>
      <c r="P40" s="277"/>
      <c r="Q40" s="277"/>
      <c r="R40" s="277"/>
      <c r="S40" s="277"/>
      <c r="T40" s="277"/>
      <c r="U40" s="277"/>
      <c r="V40" s="277"/>
      <c r="W40" s="277"/>
      <c r="X40" s="277"/>
      <c r="Y40" s="277"/>
      <c r="Z40" s="277"/>
      <c r="AA40" s="277"/>
      <c r="AB40" s="277"/>
      <c r="AC40" s="277"/>
      <c r="AD40" s="277"/>
      <c r="AE40" s="277"/>
      <c r="AF40" s="277"/>
      <c r="AG40" s="277"/>
      <c r="AH40" s="277"/>
      <c r="AI40" s="277"/>
      <c r="AJ40" s="277"/>
      <c r="AK40" s="277"/>
      <c r="AL40" s="277"/>
      <c r="AM40" s="277"/>
      <c r="AN40" s="277"/>
      <c r="AO40" s="277"/>
      <c r="AP40" s="277"/>
      <c r="AQ40" s="278"/>
      <c r="BN40" s="279"/>
      <c r="BO40" s="280"/>
      <c r="BP40" s="280"/>
      <c r="BQ40" s="280"/>
      <c r="BR40" s="280"/>
      <c r="BS40" s="280"/>
      <c r="BT40" s="280"/>
      <c r="BU40" s="280"/>
      <c r="BV40" s="280"/>
      <c r="BW40" s="280"/>
      <c r="BX40" s="280"/>
      <c r="BY40" s="280"/>
      <c r="BZ40" s="280"/>
      <c r="CA40" s="280"/>
      <c r="CB40" s="280"/>
      <c r="CC40" s="280"/>
      <c r="CD40" s="280"/>
      <c r="CE40" s="280"/>
      <c r="CF40" s="280"/>
      <c r="CG40" s="280"/>
      <c r="CH40" s="280"/>
      <c r="CI40" s="280"/>
      <c r="CJ40" s="280"/>
      <c r="CK40" s="280"/>
      <c r="CL40" s="280"/>
      <c r="CM40" s="280"/>
      <c r="CN40" s="280"/>
      <c r="CO40" s="280"/>
      <c r="CP40" s="280"/>
      <c r="CQ40" s="280"/>
      <c r="CR40" s="280"/>
      <c r="CS40" s="281"/>
    </row>
    <row r="41" spans="8:97" ht="18" thickBot="1" x14ac:dyDescent="0.45">
      <c r="H41" s="279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Y41" s="280"/>
      <c r="Z41" s="280"/>
      <c r="AA41" s="280"/>
      <c r="AB41" s="280"/>
      <c r="AC41" s="280"/>
      <c r="AD41" s="280"/>
      <c r="AE41" s="280"/>
      <c r="AF41" s="280"/>
      <c r="AG41" s="280"/>
      <c r="AH41" s="280"/>
      <c r="AI41" s="280"/>
      <c r="AJ41" s="280"/>
      <c r="AK41" s="280"/>
      <c r="AL41" s="280"/>
      <c r="AM41" s="280"/>
      <c r="AN41" s="280"/>
      <c r="AO41" s="280"/>
      <c r="AP41" s="280"/>
      <c r="AQ41" s="281"/>
    </row>
    <row r="43" spans="8:97" ht="18" thickBot="1" x14ac:dyDescent="0.45"/>
    <row r="44" spans="8:97" x14ac:dyDescent="0.4">
      <c r="L44" s="273" t="s">
        <v>437</v>
      </c>
      <c r="M44" s="274"/>
      <c r="N44" s="274"/>
      <c r="O44" s="274"/>
      <c r="P44" s="274"/>
      <c r="Q44" s="274"/>
      <c r="R44" s="274"/>
      <c r="S44" s="274"/>
      <c r="T44" s="274"/>
      <c r="U44" s="274"/>
      <c r="V44" s="274"/>
      <c r="W44" s="274"/>
      <c r="X44" s="274"/>
      <c r="Y44" s="274"/>
      <c r="Z44" s="274"/>
      <c r="AA44" s="274"/>
      <c r="AB44" s="274"/>
      <c r="AC44" s="274"/>
      <c r="AD44" s="274"/>
      <c r="AE44" s="274"/>
      <c r="AF44" s="274"/>
      <c r="AG44" s="274"/>
      <c r="AH44" s="274"/>
      <c r="AI44" s="274"/>
      <c r="AJ44" s="274"/>
      <c r="AK44" s="274"/>
      <c r="AL44" s="274"/>
      <c r="AM44" s="274"/>
      <c r="AN44" s="274"/>
      <c r="AO44" s="274"/>
      <c r="AP44" s="274"/>
      <c r="AQ44" s="275"/>
      <c r="BN44" s="273" t="s">
        <v>437</v>
      </c>
      <c r="BO44" s="274"/>
      <c r="BP44" s="274"/>
      <c r="BQ44" s="274"/>
      <c r="BR44" s="274"/>
      <c r="BS44" s="274"/>
      <c r="BT44" s="274"/>
      <c r="BU44" s="274"/>
      <c r="BV44" s="274"/>
      <c r="BW44" s="274"/>
      <c r="BX44" s="274"/>
      <c r="BY44" s="274"/>
      <c r="BZ44" s="274"/>
      <c r="CA44" s="274"/>
      <c r="CB44" s="274"/>
      <c r="CC44" s="274"/>
      <c r="CD44" s="274"/>
      <c r="CE44" s="274"/>
      <c r="CF44" s="274"/>
      <c r="CG44" s="274"/>
      <c r="CH44" s="274"/>
      <c r="CI44" s="274"/>
      <c r="CJ44" s="274"/>
      <c r="CK44" s="274"/>
      <c r="CL44" s="274"/>
      <c r="CM44" s="274"/>
      <c r="CN44" s="274"/>
      <c r="CO44" s="274"/>
      <c r="CP44" s="274"/>
      <c r="CQ44" s="274"/>
      <c r="CR44" s="274"/>
      <c r="CS44" s="275"/>
    </row>
    <row r="45" spans="8:97" ht="17.399999999999999" customHeight="1" x14ac:dyDescent="0.4">
      <c r="L45" s="276"/>
      <c r="M45" s="277"/>
      <c r="N45" s="277"/>
      <c r="O45" s="277"/>
      <c r="P45" s="277"/>
      <c r="Q45" s="277"/>
      <c r="R45" s="277"/>
      <c r="S45" s="277"/>
      <c r="T45" s="277"/>
      <c r="U45" s="277"/>
      <c r="V45" s="277"/>
      <c r="W45" s="277"/>
      <c r="X45" s="277"/>
      <c r="Y45" s="277"/>
      <c r="Z45" s="277"/>
      <c r="AA45" s="277"/>
      <c r="AB45" s="277"/>
      <c r="AC45" s="277"/>
      <c r="AD45" s="277"/>
      <c r="AE45" s="277"/>
      <c r="AF45" s="277"/>
      <c r="AG45" s="277"/>
      <c r="AH45" s="277"/>
      <c r="AI45" s="277"/>
      <c r="AJ45" s="277"/>
      <c r="AK45" s="277"/>
      <c r="AL45" s="277"/>
      <c r="AM45" s="277"/>
      <c r="AN45" s="277"/>
      <c r="AO45" s="277"/>
      <c r="AP45" s="277"/>
      <c r="AQ45" s="278"/>
      <c r="BN45" s="276"/>
      <c r="BO45" s="277"/>
      <c r="BP45" s="277"/>
      <c r="BQ45" s="277"/>
      <c r="BR45" s="277"/>
      <c r="BS45" s="277"/>
      <c r="BT45" s="277"/>
      <c r="BU45" s="277"/>
      <c r="BV45" s="277"/>
      <c r="BW45" s="277"/>
      <c r="BX45" s="277"/>
      <c r="BY45" s="277"/>
      <c r="BZ45" s="277"/>
      <c r="CA45" s="277"/>
      <c r="CB45" s="277"/>
      <c r="CC45" s="277"/>
      <c r="CD45" s="277"/>
      <c r="CE45" s="277"/>
      <c r="CF45" s="277"/>
      <c r="CG45" s="277"/>
      <c r="CH45" s="277"/>
      <c r="CI45" s="277"/>
      <c r="CJ45" s="277"/>
      <c r="CK45" s="277"/>
      <c r="CL45" s="277"/>
      <c r="CM45" s="277"/>
      <c r="CN45" s="277"/>
      <c r="CO45" s="277"/>
      <c r="CP45" s="277"/>
      <c r="CQ45" s="277"/>
      <c r="CR45" s="277"/>
      <c r="CS45" s="278"/>
    </row>
    <row r="46" spans="8:97" ht="17.399999999999999" customHeight="1" x14ac:dyDescent="0.4">
      <c r="L46" s="276"/>
      <c r="M46" s="277"/>
      <c r="N46" s="277"/>
      <c r="O46" s="277"/>
      <c r="P46" s="277"/>
      <c r="Q46" s="277"/>
      <c r="R46" s="277"/>
      <c r="S46" s="277"/>
      <c r="T46" s="277"/>
      <c r="U46" s="277"/>
      <c r="V46" s="277"/>
      <c r="W46" s="277"/>
      <c r="X46" s="277"/>
      <c r="Y46" s="277"/>
      <c r="Z46" s="277"/>
      <c r="AA46" s="277"/>
      <c r="AB46" s="277"/>
      <c r="AC46" s="277"/>
      <c r="AD46" s="277"/>
      <c r="AE46" s="277"/>
      <c r="AF46" s="277"/>
      <c r="AG46" s="277"/>
      <c r="AH46" s="277"/>
      <c r="AI46" s="277"/>
      <c r="AJ46" s="277"/>
      <c r="AK46" s="277"/>
      <c r="AL46" s="277"/>
      <c r="AM46" s="277"/>
      <c r="AN46" s="277"/>
      <c r="AO46" s="277"/>
      <c r="AP46" s="277"/>
      <c r="AQ46" s="278"/>
      <c r="BN46" s="276"/>
      <c r="BO46" s="277"/>
      <c r="BP46" s="277"/>
      <c r="BQ46" s="277"/>
      <c r="BR46" s="277"/>
      <c r="BS46" s="277"/>
      <c r="BT46" s="277"/>
      <c r="BU46" s="277"/>
      <c r="BV46" s="277"/>
      <c r="BW46" s="277"/>
      <c r="BX46" s="277"/>
      <c r="BY46" s="277"/>
      <c r="BZ46" s="277"/>
      <c r="CA46" s="277"/>
      <c r="CB46" s="277"/>
      <c r="CC46" s="277"/>
      <c r="CD46" s="277"/>
      <c r="CE46" s="277"/>
      <c r="CF46" s="277"/>
      <c r="CG46" s="277"/>
      <c r="CH46" s="277"/>
      <c r="CI46" s="277"/>
      <c r="CJ46" s="277"/>
      <c r="CK46" s="277"/>
      <c r="CL46" s="277"/>
      <c r="CM46" s="277"/>
      <c r="CN46" s="277"/>
      <c r="CO46" s="277"/>
      <c r="CP46" s="277"/>
      <c r="CQ46" s="277"/>
      <c r="CR46" s="277"/>
      <c r="CS46" s="278"/>
    </row>
    <row r="47" spans="8:97" ht="17.399999999999999" customHeight="1" x14ac:dyDescent="0.4">
      <c r="L47" s="276"/>
      <c r="M47" s="277"/>
      <c r="N47" s="277"/>
      <c r="O47" s="277"/>
      <c r="P47" s="277"/>
      <c r="Q47" s="277"/>
      <c r="R47" s="277"/>
      <c r="S47" s="277"/>
      <c r="T47" s="277"/>
      <c r="U47" s="277"/>
      <c r="V47" s="277"/>
      <c r="W47" s="277"/>
      <c r="X47" s="277"/>
      <c r="Y47" s="277"/>
      <c r="Z47" s="277"/>
      <c r="AA47" s="277"/>
      <c r="AB47" s="277"/>
      <c r="AC47" s="277"/>
      <c r="AD47" s="277"/>
      <c r="AE47" s="277"/>
      <c r="AF47" s="277"/>
      <c r="AG47" s="277"/>
      <c r="AH47" s="277"/>
      <c r="AI47" s="277"/>
      <c r="AJ47" s="277"/>
      <c r="AK47" s="277"/>
      <c r="AL47" s="277"/>
      <c r="AM47" s="277"/>
      <c r="AN47" s="277"/>
      <c r="AO47" s="277"/>
      <c r="AP47" s="277"/>
      <c r="AQ47" s="278"/>
      <c r="BN47" s="276"/>
      <c r="BO47" s="277"/>
      <c r="BP47" s="277"/>
      <c r="BQ47" s="277"/>
      <c r="BR47" s="277"/>
      <c r="BS47" s="277"/>
      <c r="BT47" s="277"/>
      <c r="BU47" s="277"/>
      <c r="BV47" s="277"/>
      <c r="BW47" s="277"/>
      <c r="BX47" s="277"/>
      <c r="BY47" s="277"/>
      <c r="BZ47" s="277"/>
      <c r="CA47" s="277"/>
      <c r="CB47" s="277"/>
      <c r="CC47" s="277"/>
      <c r="CD47" s="277"/>
      <c r="CE47" s="277"/>
      <c r="CF47" s="277"/>
      <c r="CG47" s="277"/>
      <c r="CH47" s="277"/>
      <c r="CI47" s="277"/>
      <c r="CJ47" s="277"/>
      <c r="CK47" s="277"/>
      <c r="CL47" s="277"/>
      <c r="CM47" s="277"/>
      <c r="CN47" s="277"/>
      <c r="CO47" s="277"/>
      <c r="CP47" s="277"/>
      <c r="CQ47" s="277"/>
      <c r="CR47" s="277"/>
      <c r="CS47" s="278"/>
    </row>
    <row r="48" spans="8:97" ht="17.399999999999999" customHeight="1" x14ac:dyDescent="0.4">
      <c r="L48" s="276"/>
      <c r="M48" s="277"/>
      <c r="N48" s="277"/>
      <c r="O48" s="277"/>
      <c r="P48" s="277"/>
      <c r="Q48" s="277"/>
      <c r="R48" s="277"/>
      <c r="S48" s="277"/>
      <c r="T48" s="277"/>
      <c r="U48" s="277"/>
      <c r="V48" s="277"/>
      <c r="W48" s="277"/>
      <c r="X48" s="277"/>
      <c r="Y48" s="277"/>
      <c r="Z48" s="277"/>
      <c r="AA48" s="277"/>
      <c r="AB48" s="277"/>
      <c r="AC48" s="277"/>
      <c r="AD48" s="277"/>
      <c r="AE48" s="277"/>
      <c r="AF48" s="277"/>
      <c r="AG48" s="277"/>
      <c r="AH48" s="277"/>
      <c r="AI48" s="277"/>
      <c r="AJ48" s="277"/>
      <c r="AK48" s="277"/>
      <c r="AL48" s="277"/>
      <c r="AM48" s="277"/>
      <c r="AN48" s="277"/>
      <c r="AO48" s="277"/>
      <c r="AP48" s="277"/>
      <c r="AQ48" s="278"/>
      <c r="BN48" s="276"/>
      <c r="BO48" s="277"/>
      <c r="BP48" s="277"/>
      <c r="BQ48" s="277"/>
      <c r="BR48" s="277"/>
      <c r="BS48" s="277"/>
      <c r="BT48" s="277"/>
      <c r="BU48" s="277"/>
      <c r="BV48" s="277"/>
      <c r="BW48" s="277"/>
      <c r="BX48" s="277"/>
      <c r="BY48" s="277"/>
      <c r="BZ48" s="277"/>
      <c r="CA48" s="277"/>
      <c r="CB48" s="277"/>
      <c r="CC48" s="277"/>
      <c r="CD48" s="277"/>
      <c r="CE48" s="277"/>
      <c r="CF48" s="277"/>
      <c r="CG48" s="277"/>
      <c r="CH48" s="277"/>
      <c r="CI48" s="277"/>
      <c r="CJ48" s="277"/>
      <c r="CK48" s="277"/>
      <c r="CL48" s="277"/>
      <c r="CM48" s="277"/>
      <c r="CN48" s="277"/>
      <c r="CO48" s="277"/>
      <c r="CP48" s="277"/>
      <c r="CQ48" s="277"/>
      <c r="CR48" s="277"/>
      <c r="CS48" s="278"/>
    </row>
    <row r="49" spans="12:97" ht="17.399999999999999" customHeight="1" x14ac:dyDescent="0.4">
      <c r="L49" s="276"/>
      <c r="M49" s="277"/>
      <c r="N49" s="277"/>
      <c r="O49" s="277"/>
      <c r="P49" s="277"/>
      <c r="Q49" s="277"/>
      <c r="R49" s="277"/>
      <c r="S49" s="277"/>
      <c r="T49" s="277"/>
      <c r="U49" s="277"/>
      <c r="V49" s="277"/>
      <c r="W49" s="277"/>
      <c r="X49" s="277"/>
      <c r="Y49" s="277"/>
      <c r="Z49" s="277"/>
      <c r="AA49" s="277"/>
      <c r="AB49" s="277"/>
      <c r="AC49" s="277"/>
      <c r="AD49" s="277"/>
      <c r="AE49" s="277"/>
      <c r="AF49" s="277"/>
      <c r="AG49" s="277"/>
      <c r="AH49" s="277"/>
      <c r="AI49" s="277"/>
      <c r="AJ49" s="277"/>
      <c r="AK49" s="277"/>
      <c r="AL49" s="277"/>
      <c r="AM49" s="277"/>
      <c r="AN49" s="277"/>
      <c r="AO49" s="277"/>
      <c r="AP49" s="277"/>
      <c r="AQ49" s="278"/>
      <c r="BN49" s="276"/>
      <c r="BO49" s="277"/>
      <c r="BP49" s="277"/>
      <c r="BQ49" s="277"/>
      <c r="BR49" s="277"/>
      <c r="BS49" s="277"/>
      <c r="BT49" s="277"/>
      <c r="BU49" s="277"/>
      <c r="BV49" s="277"/>
      <c r="BW49" s="277"/>
      <c r="BX49" s="277"/>
      <c r="BY49" s="277"/>
      <c r="BZ49" s="277"/>
      <c r="CA49" s="277"/>
      <c r="CB49" s="277"/>
      <c r="CC49" s="277"/>
      <c r="CD49" s="277"/>
      <c r="CE49" s="277"/>
      <c r="CF49" s="277"/>
      <c r="CG49" s="277"/>
      <c r="CH49" s="277"/>
      <c r="CI49" s="277"/>
      <c r="CJ49" s="277"/>
      <c r="CK49" s="277"/>
      <c r="CL49" s="277"/>
      <c r="CM49" s="277"/>
      <c r="CN49" s="277"/>
      <c r="CO49" s="277"/>
      <c r="CP49" s="277"/>
      <c r="CQ49" s="277"/>
      <c r="CR49" s="277"/>
      <c r="CS49" s="278"/>
    </row>
    <row r="50" spans="12:97" ht="17.399999999999999" customHeight="1" x14ac:dyDescent="0.4">
      <c r="L50" s="276"/>
      <c r="M50" s="277"/>
      <c r="N50" s="277"/>
      <c r="O50" s="277"/>
      <c r="P50" s="277"/>
      <c r="Q50" s="277"/>
      <c r="R50" s="277"/>
      <c r="S50" s="277"/>
      <c r="T50" s="277"/>
      <c r="U50" s="277"/>
      <c r="V50" s="277"/>
      <c r="W50" s="277"/>
      <c r="X50" s="277"/>
      <c r="Y50" s="277"/>
      <c r="Z50" s="277"/>
      <c r="AA50" s="277"/>
      <c r="AB50" s="277"/>
      <c r="AC50" s="277"/>
      <c r="AD50" s="277"/>
      <c r="AE50" s="277"/>
      <c r="AF50" s="277"/>
      <c r="AG50" s="277"/>
      <c r="AH50" s="277"/>
      <c r="AI50" s="277"/>
      <c r="AJ50" s="277"/>
      <c r="AK50" s="277"/>
      <c r="AL50" s="277"/>
      <c r="AM50" s="277"/>
      <c r="AN50" s="277"/>
      <c r="AO50" s="277"/>
      <c r="AP50" s="277"/>
      <c r="AQ50" s="278"/>
      <c r="BN50" s="276"/>
      <c r="BO50" s="277"/>
      <c r="BP50" s="277"/>
      <c r="BQ50" s="277"/>
      <c r="BR50" s="277"/>
      <c r="BS50" s="277"/>
      <c r="BT50" s="277"/>
      <c r="BU50" s="277"/>
      <c r="BV50" s="277"/>
      <c r="BW50" s="277"/>
      <c r="BX50" s="277"/>
      <c r="BY50" s="277"/>
      <c r="BZ50" s="277"/>
      <c r="CA50" s="277"/>
      <c r="CB50" s="277"/>
      <c r="CC50" s="277"/>
      <c r="CD50" s="277"/>
      <c r="CE50" s="277"/>
      <c r="CF50" s="277"/>
      <c r="CG50" s="277"/>
      <c r="CH50" s="277"/>
      <c r="CI50" s="277"/>
      <c r="CJ50" s="277"/>
      <c r="CK50" s="277"/>
      <c r="CL50" s="277"/>
      <c r="CM50" s="277"/>
      <c r="CN50" s="277"/>
      <c r="CO50" s="277"/>
      <c r="CP50" s="277"/>
      <c r="CQ50" s="277"/>
      <c r="CR50" s="277"/>
      <c r="CS50" s="278"/>
    </row>
    <row r="51" spans="12:97" ht="17.399999999999999" customHeight="1" x14ac:dyDescent="0.4">
      <c r="L51" s="276"/>
      <c r="M51" s="277"/>
      <c r="N51" s="277"/>
      <c r="O51" s="277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7"/>
      <c r="AA51" s="277"/>
      <c r="AB51" s="277"/>
      <c r="AC51" s="277"/>
      <c r="AD51" s="277"/>
      <c r="AE51" s="277"/>
      <c r="AF51" s="277"/>
      <c r="AG51" s="277"/>
      <c r="AH51" s="277"/>
      <c r="AI51" s="277"/>
      <c r="AJ51" s="277"/>
      <c r="AK51" s="277"/>
      <c r="AL51" s="277"/>
      <c r="AM51" s="277"/>
      <c r="AN51" s="277"/>
      <c r="AO51" s="277"/>
      <c r="AP51" s="277"/>
      <c r="AQ51" s="278"/>
      <c r="BN51" s="276"/>
      <c r="BO51" s="277"/>
      <c r="BP51" s="277"/>
      <c r="BQ51" s="277"/>
      <c r="BR51" s="277"/>
      <c r="BS51" s="277"/>
      <c r="BT51" s="277"/>
      <c r="BU51" s="277"/>
      <c r="BV51" s="277"/>
      <c r="BW51" s="277"/>
      <c r="BX51" s="277"/>
      <c r="BY51" s="277"/>
      <c r="BZ51" s="277"/>
      <c r="CA51" s="277"/>
      <c r="CB51" s="277"/>
      <c r="CC51" s="277"/>
      <c r="CD51" s="277"/>
      <c r="CE51" s="277"/>
      <c r="CF51" s="277"/>
      <c r="CG51" s="277"/>
      <c r="CH51" s="277"/>
      <c r="CI51" s="277"/>
      <c r="CJ51" s="277"/>
      <c r="CK51" s="277"/>
      <c r="CL51" s="277"/>
      <c r="CM51" s="277"/>
      <c r="CN51" s="277"/>
      <c r="CO51" s="277"/>
      <c r="CP51" s="277"/>
      <c r="CQ51" s="277"/>
      <c r="CR51" s="277"/>
      <c r="CS51" s="278"/>
    </row>
    <row r="52" spans="12:97" ht="17.399999999999999" customHeight="1" x14ac:dyDescent="0.4">
      <c r="L52" s="276"/>
      <c r="M52" s="277"/>
      <c r="N52" s="277"/>
      <c r="O52" s="277"/>
      <c r="P52" s="277"/>
      <c r="Q52" s="277"/>
      <c r="R52" s="277"/>
      <c r="S52" s="277"/>
      <c r="T52" s="277"/>
      <c r="U52" s="277"/>
      <c r="V52" s="277"/>
      <c r="W52" s="277"/>
      <c r="X52" s="277"/>
      <c r="Y52" s="277"/>
      <c r="Z52" s="277"/>
      <c r="AA52" s="277"/>
      <c r="AB52" s="277"/>
      <c r="AC52" s="277"/>
      <c r="AD52" s="277"/>
      <c r="AE52" s="277"/>
      <c r="AF52" s="277"/>
      <c r="AG52" s="277"/>
      <c r="AH52" s="277"/>
      <c r="AI52" s="277"/>
      <c r="AJ52" s="277"/>
      <c r="AK52" s="277"/>
      <c r="AL52" s="277"/>
      <c r="AM52" s="277"/>
      <c r="AN52" s="277"/>
      <c r="AO52" s="277"/>
      <c r="AP52" s="277"/>
      <c r="AQ52" s="278"/>
      <c r="BN52" s="276"/>
      <c r="BO52" s="277"/>
      <c r="BP52" s="277"/>
      <c r="BQ52" s="277"/>
      <c r="BR52" s="277"/>
      <c r="BS52" s="277"/>
      <c r="BT52" s="277"/>
      <c r="BU52" s="277"/>
      <c r="BV52" s="277"/>
      <c r="BW52" s="277"/>
      <c r="BX52" s="277"/>
      <c r="BY52" s="277"/>
      <c r="BZ52" s="277"/>
      <c r="CA52" s="277"/>
      <c r="CB52" s="277"/>
      <c r="CC52" s="277"/>
      <c r="CD52" s="277"/>
      <c r="CE52" s="277"/>
      <c r="CF52" s="277"/>
      <c r="CG52" s="277"/>
      <c r="CH52" s="277"/>
      <c r="CI52" s="277"/>
      <c r="CJ52" s="277"/>
      <c r="CK52" s="277"/>
      <c r="CL52" s="277"/>
      <c r="CM52" s="277"/>
      <c r="CN52" s="277"/>
      <c r="CO52" s="277"/>
      <c r="CP52" s="277"/>
      <c r="CQ52" s="277"/>
      <c r="CR52" s="277"/>
      <c r="CS52" s="278"/>
    </row>
    <row r="53" spans="12:97" ht="17.399999999999999" customHeight="1" x14ac:dyDescent="0.4">
      <c r="L53" s="276"/>
      <c r="M53" s="277"/>
      <c r="N53" s="277"/>
      <c r="O53" s="277"/>
      <c r="P53" s="277"/>
      <c r="Q53" s="277"/>
      <c r="R53" s="277"/>
      <c r="S53" s="277"/>
      <c r="T53" s="277"/>
      <c r="U53" s="277"/>
      <c r="V53" s="277"/>
      <c r="W53" s="277"/>
      <c r="X53" s="277"/>
      <c r="Y53" s="277"/>
      <c r="Z53" s="277"/>
      <c r="AA53" s="277"/>
      <c r="AB53" s="277"/>
      <c r="AC53" s="277"/>
      <c r="AD53" s="277"/>
      <c r="AE53" s="277"/>
      <c r="AF53" s="277"/>
      <c r="AG53" s="277"/>
      <c r="AH53" s="277"/>
      <c r="AI53" s="277"/>
      <c r="AJ53" s="277"/>
      <c r="AK53" s="277"/>
      <c r="AL53" s="277"/>
      <c r="AM53" s="277"/>
      <c r="AN53" s="277"/>
      <c r="AO53" s="277"/>
      <c r="AP53" s="277"/>
      <c r="AQ53" s="278"/>
      <c r="BN53" s="276"/>
      <c r="BO53" s="277"/>
      <c r="BP53" s="277"/>
      <c r="BQ53" s="277"/>
      <c r="BR53" s="277"/>
      <c r="BS53" s="277"/>
      <c r="BT53" s="277"/>
      <c r="BU53" s="277"/>
      <c r="BV53" s="277"/>
      <c r="BW53" s="277"/>
      <c r="BX53" s="277"/>
      <c r="BY53" s="277"/>
      <c r="BZ53" s="277"/>
      <c r="CA53" s="277"/>
      <c r="CB53" s="277"/>
      <c r="CC53" s="277"/>
      <c r="CD53" s="277"/>
      <c r="CE53" s="277"/>
      <c r="CF53" s="277"/>
      <c r="CG53" s="277"/>
      <c r="CH53" s="277"/>
      <c r="CI53" s="277"/>
      <c r="CJ53" s="277"/>
      <c r="CK53" s="277"/>
      <c r="CL53" s="277"/>
      <c r="CM53" s="277"/>
      <c r="CN53" s="277"/>
      <c r="CO53" s="277"/>
      <c r="CP53" s="277"/>
      <c r="CQ53" s="277"/>
      <c r="CR53" s="277"/>
      <c r="CS53" s="278"/>
    </row>
    <row r="54" spans="12:97" ht="17.399999999999999" customHeight="1" x14ac:dyDescent="0.4">
      <c r="L54" s="276"/>
      <c r="M54" s="277"/>
      <c r="N54" s="277"/>
      <c r="O54" s="277"/>
      <c r="P54" s="277"/>
      <c r="Q54" s="277"/>
      <c r="R54" s="277"/>
      <c r="S54" s="277"/>
      <c r="T54" s="277"/>
      <c r="U54" s="277"/>
      <c r="V54" s="277"/>
      <c r="W54" s="277"/>
      <c r="X54" s="277"/>
      <c r="Y54" s="277"/>
      <c r="Z54" s="277"/>
      <c r="AA54" s="277"/>
      <c r="AB54" s="277"/>
      <c r="AC54" s="277"/>
      <c r="AD54" s="277"/>
      <c r="AE54" s="277"/>
      <c r="AF54" s="277"/>
      <c r="AG54" s="277"/>
      <c r="AH54" s="277"/>
      <c r="AI54" s="277"/>
      <c r="AJ54" s="277"/>
      <c r="AK54" s="277"/>
      <c r="AL54" s="277"/>
      <c r="AM54" s="277"/>
      <c r="AN54" s="277"/>
      <c r="AO54" s="277"/>
      <c r="AP54" s="277"/>
      <c r="AQ54" s="278"/>
      <c r="BN54" s="276"/>
      <c r="BO54" s="277"/>
      <c r="BP54" s="277"/>
      <c r="BQ54" s="277"/>
      <c r="BR54" s="277"/>
      <c r="BS54" s="277"/>
      <c r="BT54" s="277"/>
      <c r="BU54" s="277"/>
      <c r="BV54" s="277"/>
      <c r="BW54" s="277"/>
      <c r="BX54" s="277"/>
      <c r="BY54" s="277"/>
      <c r="BZ54" s="277"/>
      <c r="CA54" s="277"/>
      <c r="CB54" s="277"/>
      <c r="CC54" s="277"/>
      <c r="CD54" s="277"/>
      <c r="CE54" s="277"/>
      <c r="CF54" s="277"/>
      <c r="CG54" s="277"/>
      <c r="CH54" s="277"/>
      <c r="CI54" s="277"/>
      <c r="CJ54" s="277"/>
      <c r="CK54" s="277"/>
      <c r="CL54" s="277"/>
      <c r="CM54" s="277"/>
      <c r="CN54" s="277"/>
      <c r="CO54" s="277"/>
      <c r="CP54" s="277"/>
      <c r="CQ54" s="277"/>
      <c r="CR54" s="277"/>
      <c r="CS54" s="278"/>
    </row>
    <row r="55" spans="12:97" ht="17.399999999999999" customHeight="1" x14ac:dyDescent="0.4">
      <c r="L55" s="276"/>
      <c r="M55" s="277"/>
      <c r="N55" s="277"/>
      <c r="O55" s="277"/>
      <c r="P55" s="277"/>
      <c r="Q55" s="277"/>
      <c r="R55" s="277"/>
      <c r="S55" s="277"/>
      <c r="T55" s="277"/>
      <c r="U55" s="277"/>
      <c r="V55" s="277"/>
      <c r="W55" s="277"/>
      <c r="X55" s="277"/>
      <c r="Y55" s="277"/>
      <c r="Z55" s="277"/>
      <c r="AA55" s="277"/>
      <c r="AB55" s="277"/>
      <c r="AC55" s="277"/>
      <c r="AD55" s="277"/>
      <c r="AE55" s="277"/>
      <c r="AF55" s="277"/>
      <c r="AG55" s="277"/>
      <c r="AH55" s="277"/>
      <c r="AI55" s="277"/>
      <c r="AJ55" s="277"/>
      <c r="AK55" s="277"/>
      <c r="AL55" s="277"/>
      <c r="AM55" s="277"/>
      <c r="AN55" s="277"/>
      <c r="AO55" s="277"/>
      <c r="AP55" s="277"/>
      <c r="AQ55" s="278"/>
      <c r="BN55" s="276"/>
      <c r="BO55" s="277"/>
      <c r="BP55" s="277"/>
      <c r="BQ55" s="277"/>
      <c r="BR55" s="277"/>
      <c r="BS55" s="277"/>
      <c r="BT55" s="277"/>
      <c r="BU55" s="277"/>
      <c r="BV55" s="277"/>
      <c r="BW55" s="277"/>
      <c r="BX55" s="277"/>
      <c r="BY55" s="277"/>
      <c r="BZ55" s="277"/>
      <c r="CA55" s="277"/>
      <c r="CB55" s="277"/>
      <c r="CC55" s="277"/>
      <c r="CD55" s="277"/>
      <c r="CE55" s="277"/>
      <c r="CF55" s="277"/>
      <c r="CG55" s="277"/>
      <c r="CH55" s="277"/>
      <c r="CI55" s="277"/>
      <c r="CJ55" s="277"/>
      <c r="CK55" s="277"/>
      <c r="CL55" s="277"/>
      <c r="CM55" s="277"/>
      <c r="CN55" s="277"/>
      <c r="CO55" s="277"/>
      <c r="CP55" s="277"/>
      <c r="CQ55" s="277"/>
      <c r="CR55" s="277"/>
      <c r="CS55" s="278"/>
    </row>
    <row r="56" spans="12:97" ht="17.399999999999999" customHeight="1" x14ac:dyDescent="0.4">
      <c r="L56" s="276"/>
      <c r="M56" s="277"/>
      <c r="N56" s="277"/>
      <c r="O56" s="277"/>
      <c r="P56" s="277"/>
      <c r="Q56" s="277"/>
      <c r="R56" s="277"/>
      <c r="S56" s="277"/>
      <c r="T56" s="277"/>
      <c r="U56" s="277"/>
      <c r="V56" s="277"/>
      <c r="W56" s="277"/>
      <c r="X56" s="277"/>
      <c r="Y56" s="277"/>
      <c r="Z56" s="277"/>
      <c r="AA56" s="277"/>
      <c r="AB56" s="277"/>
      <c r="AC56" s="277"/>
      <c r="AD56" s="277"/>
      <c r="AE56" s="277"/>
      <c r="AF56" s="277"/>
      <c r="AG56" s="277"/>
      <c r="AH56" s="277"/>
      <c r="AI56" s="277"/>
      <c r="AJ56" s="277"/>
      <c r="AK56" s="277"/>
      <c r="AL56" s="277"/>
      <c r="AM56" s="277"/>
      <c r="AN56" s="277"/>
      <c r="AO56" s="277"/>
      <c r="AP56" s="277"/>
      <c r="AQ56" s="278"/>
      <c r="BN56" s="276"/>
      <c r="BO56" s="277"/>
      <c r="BP56" s="277"/>
      <c r="BQ56" s="277"/>
      <c r="BR56" s="277"/>
      <c r="BS56" s="277"/>
      <c r="BT56" s="277"/>
      <c r="BU56" s="277"/>
      <c r="BV56" s="277"/>
      <c r="BW56" s="277"/>
      <c r="BX56" s="277"/>
      <c r="BY56" s="277"/>
      <c r="BZ56" s="277"/>
      <c r="CA56" s="277"/>
      <c r="CB56" s="277"/>
      <c r="CC56" s="277"/>
      <c r="CD56" s="277"/>
      <c r="CE56" s="277"/>
      <c r="CF56" s="277"/>
      <c r="CG56" s="277"/>
      <c r="CH56" s="277"/>
      <c r="CI56" s="277"/>
      <c r="CJ56" s="277"/>
      <c r="CK56" s="277"/>
      <c r="CL56" s="277"/>
      <c r="CM56" s="277"/>
      <c r="CN56" s="277"/>
      <c r="CO56" s="277"/>
      <c r="CP56" s="277"/>
      <c r="CQ56" s="277"/>
      <c r="CR56" s="277"/>
      <c r="CS56" s="278"/>
    </row>
    <row r="57" spans="12:97" ht="17.399999999999999" customHeight="1" x14ac:dyDescent="0.4">
      <c r="L57" s="276"/>
      <c r="M57" s="277"/>
      <c r="N57" s="277"/>
      <c r="O57" s="277"/>
      <c r="P57" s="277"/>
      <c r="Q57" s="277"/>
      <c r="R57" s="277"/>
      <c r="S57" s="277"/>
      <c r="T57" s="277"/>
      <c r="U57" s="277"/>
      <c r="V57" s="277"/>
      <c r="W57" s="277"/>
      <c r="X57" s="277"/>
      <c r="Y57" s="277"/>
      <c r="Z57" s="277"/>
      <c r="AA57" s="277"/>
      <c r="AB57" s="277"/>
      <c r="AC57" s="277"/>
      <c r="AD57" s="277"/>
      <c r="AE57" s="277"/>
      <c r="AF57" s="277"/>
      <c r="AG57" s="277"/>
      <c r="AH57" s="277"/>
      <c r="AI57" s="277"/>
      <c r="AJ57" s="277"/>
      <c r="AK57" s="277"/>
      <c r="AL57" s="277"/>
      <c r="AM57" s="277"/>
      <c r="AN57" s="277"/>
      <c r="AO57" s="277"/>
      <c r="AP57" s="277"/>
      <c r="AQ57" s="278"/>
      <c r="BN57" s="276"/>
      <c r="BO57" s="277"/>
      <c r="BP57" s="277"/>
      <c r="BQ57" s="277"/>
      <c r="BR57" s="277"/>
      <c r="BS57" s="277"/>
      <c r="BT57" s="277"/>
      <c r="BU57" s="277"/>
      <c r="BV57" s="277"/>
      <c r="BW57" s="277"/>
      <c r="BX57" s="277"/>
      <c r="BY57" s="277"/>
      <c r="BZ57" s="277"/>
      <c r="CA57" s="277"/>
      <c r="CB57" s="277"/>
      <c r="CC57" s="277"/>
      <c r="CD57" s="277"/>
      <c r="CE57" s="277"/>
      <c r="CF57" s="277"/>
      <c r="CG57" s="277"/>
      <c r="CH57" s="277"/>
      <c r="CI57" s="277"/>
      <c r="CJ57" s="277"/>
      <c r="CK57" s="277"/>
      <c r="CL57" s="277"/>
      <c r="CM57" s="277"/>
      <c r="CN57" s="277"/>
      <c r="CO57" s="277"/>
      <c r="CP57" s="277"/>
      <c r="CQ57" s="277"/>
      <c r="CR57" s="277"/>
      <c r="CS57" s="278"/>
    </row>
    <row r="58" spans="12:97" ht="17.399999999999999" customHeight="1" x14ac:dyDescent="0.4">
      <c r="L58" s="276"/>
      <c r="M58" s="277"/>
      <c r="N58" s="277"/>
      <c r="O58" s="277"/>
      <c r="P58" s="277"/>
      <c r="Q58" s="277"/>
      <c r="R58" s="277"/>
      <c r="S58" s="277"/>
      <c r="T58" s="277"/>
      <c r="U58" s="277"/>
      <c r="V58" s="277"/>
      <c r="W58" s="277"/>
      <c r="X58" s="277"/>
      <c r="Y58" s="277"/>
      <c r="Z58" s="277"/>
      <c r="AA58" s="277"/>
      <c r="AB58" s="277"/>
      <c r="AC58" s="277"/>
      <c r="AD58" s="277"/>
      <c r="AE58" s="277"/>
      <c r="AF58" s="277"/>
      <c r="AG58" s="277"/>
      <c r="AH58" s="277"/>
      <c r="AI58" s="277"/>
      <c r="AJ58" s="277"/>
      <c r="AK58" s="277"/>
      <c r="AL58" s="277"/>
      <c r="AM58" s="277"/>
      <c r="AN58" s="277"/>
      <c r="AO58" s="277"/>
      <c r="AP58" s="277"/>
      <c r="AQ58" s="278"/>
      <c r="BN58" s="276"/>
      <c r="BO58" s="277"/>
      <c r="BP58" s="277"/>
      <c r="BQ58" s="277"/>
      <c r="BR58" s="277"/>
      <c r="BS58" s="277"/>
      <c r="BT58" s="277"/>
      <c r="BU58" s="277"/>
      <c r="BV58" s="277"/>
      <c r="BW58" s="277"/>
      <c r="BX58" s="277"/>
      <c r="BY58" s="277"/>
      <c r="BZ58" s="277"/>
      <c r="CA58" s="277"/>
      <c r="CB58" s="277"/>
      <c r="CC58" s="277"/>
      <c r="CD58" s="277"/>
      <c r="CE58" s="277"/>
      <c r="CF58" s="277"/>
      <c r="CG58" s="277"/>
      <c r="CH58" s="277"/>
      <c r="CI58" s="277"/>
      <c r="CJ58" s="277"/>
      <c r="CK58" s="277"/>
      <c r="CL58" s="277"/>
      <c r="CM58" s="277"/>
      <c r="CN58" s="277"/>
      <c r="CO58" s="277"/>
      <c r="CP58" s="277"/>
      <c r="CQ58" s="277"/>
      <c r="CR58" s="277"/>
      <c r="CS58" s="278"/>
    </row>
    <row r="59" spans="12:97" ht="17.399999999999999" customHeight="1" x14ac:dyDescent="0.4">
      <c r="L59" s="276"/>
      <c r="M59" s="277"/>
      <c r="N59" s="277"/>
      <c r="O59" s="277"/>
      <c r="P59" s="277"/>
      <c r="Q59" s="277"/>
      <c r="R59" s="277"/>
      <c r="S59" s="277"/>
      <c r="T59" s="277"/>
      <c r="U59" s="277"/>
      <c r="V59" s="277"/>
      <c r="W59" s="277"/>
      <c r="X59" s="277"/>
      <c r="Y59" s="277"/>
      <c r="Z59" s="277"/>
      <c r="AA59" s="277"/>
      <c r="AB59" s="277"/>
      <c r="AC59" s="277"/>
      <c r="AD59" s="277"/>
      <c r="AE59" s="277"/>
      <c r="AF59" s="277"/>
      <c r="AG59" s="277"/>
      <c r="AH59" s="277"/>
      <c r="AI59" s="277"/>
      <c r="AJ59" s="277"/>
      <c r="AK59" s="277"/>
      <c r="AL59" s="277"/>
      <c r="AM59" s="277"/>
      <c r="AN59" s="277"/>
      <c r="AO59" s="277"/>
      <c r="AP59" s="277"/>
      <c r="AQ59" s="278"/>
      <c r="BN59" s="276"/>
      <c r="BO59" s="277"/>
      <c r="BP59" s="277"/>
      <c r="BQ59" s="277"/>
      <c r="BR59" s="277"/>
      <c r="BS59" s="277"/>
      <c r="BT59" s="277"/>
      <c r="BU59" s="277"/>
      <c r="BV59" s="277"/>
      <c r="BW59" s="277"/>
      <c r="BX59" s="277"/>
      <c r="BY59" s="277"/>
      <c r="BZ59" s="277"/>
      <c r="CA59" s="277"/>
      <c r="CB59" s="277"/>
      <c r="CC59" s="277"/>
      <c r="CD59" s="277"/>
      <c r="CE59" s="277"/>
      <c r="CF59" s="277"/>
      <c r="CG59" s="277"/>
      <c r="CH59" s="277"/>
      <c r="CI59" s="277"/>
      <c r="CJ59" s="277"/>
      <c r="CK59" s="277"/>
      <c r="CL59" s="277"/>
      <c r="CM59" s="277"/>
      <c r="CN59" s="277"/>
      <c r="CO59" s="277"/>
      <c r="CP59" s="277"/>
      <c r="CQ59" s="277"/>
      <c r="CR59" s="277"/>
      <c r="CS59" s="278"/>
    </row>
    <row r="60" spans="12:97" ht="17.399999999999999" customHeight="1" x14ac:dyDescent="0.4">
      <c r="L60" s="276"/>
      <c r="M60" s="277"/>
      <c r="N60" s="277"/>
      <c r="O60" s="277"/>
      <c r="P60" s="277"/>
      <c r="Q60" s="277"/>
      <c r="R60" s="277"/>
      <c r="S60" s="277"/>
      <c r="T60" s="277"/>
      <c r="U60" s="277"/>
      <c r="V60" s="277"/>
      <c r="W60" s="277"/>
      <c r="X60" s="277"/>
      <c r="Y60" s="277"/>
      <c r="Z60" s="277"/>
      <c r="AA60" s="277"/>
      <c r="AB60" s="277"/>
      <c r="AC60" s="277"/>
      <c r="AD60" s="277"/>
      <c r="AE60" s="277"/>
      <c r="AF60" s="277"/>
      <c r="AG60" s="277"/>
      <c r="AH60" s="277"/>
      <c r="AI60" s="277"/>
      <c r="AJ60" s="277"/>
      <c r="AK60" s="277"/>
      <c r="AL60" s="277"/>
      <c r="AM60" s="277"/>
      <c r="AN60" s="277"/>
      <c r="AO60" s="277"/>
      <c r="AP60" s="277"/>
      <c r="AQ60" s="278"/>
      <c r="BN60" s="276"/>
      <c r="BO60" s="277"/>
      <c r="BP60" s="277"/>
      <c r="BQ60" s="277"/>
      <c r="BR60" s="277"/>
      <c r="BS60" s="277"/>
      <c r="BT60" s="277"/>
      <c r="BU60" s="277"/>
      <c r="BV60" s="277"/>
      <c r="BW60" s="277"/>
      <c r="BX60" s="277"/>
      <c r="BY60" s="277"/>
      <c r="BZ60" s="277"/>
      <c r="CA60" s="277"/>
      <c r="CB60" s="277"/>
      <c r="CC60" s="277"/>
      <c r="CD60" s="277"/>
      <c r="CE60" s="277"/>
      <c r="CF60" s="277"/>
      <c r="CG60" s="277"/>
      <c r="CH60" s="277"/>
      <c r="CI60" s="277"/>
      <c r="CJ60" s="277"/>
      <c r="CK60" s="277"/>
      <c r="CL60" s="277"/>
      <c r="CM60" s="277"/>
      <c r="CN60" s="277"/>
      <c r="CO60" s="277"/>
      <c r="CP60" s="277"/>
      <c r="CQ60" s="277"/>
      <c r="CR60" s="277"/>
      <c r="CS60" s="278"/>
    </row>
    <row r="61" spans="12:97" ht="17.399999999999999" customHeight="1" x14ac:dyDescent="0.4">
      <c r="L61" s="276"/>
      <c r="M61" s="277"/>
      <c r="N61" s="277"/>
      <c r="O61" s="277"/>
      <c r="P61" s="277"/>
      <c r="Q61" s="277"/>
      <c r="R61" s="277"/>
      <c r="S61" s="277"/>
      <c r="T61" s="277"/>
      <c r="U61" s="277"/>
      <c r="V61" s="277"/>
      <c r="W61" s="277"/>
      <c r="X61" s="277"/>
      <c r="Y61" s="277"/>
      <c r="Z61" s="277"/>
      <c r="AA61" s="277"/>
      <c r="AB61" s="277"/>
      <c r="AC61" s="277"/>
      <c r="AD61" s="277"/>
      <c r="AE61" s="277"/>
      <c r="AF61" s="277"/>
      <c r="AG61" s="277"/>
      <c r="AH61" s="277"/>
      <c r="AI61" s="277"/>
      <c r="AJ61" s="277"/>
      <c r="AK61" s="277"/>
      <c r="AL61" s="277"/>
      <c r="AM61" s="277"/>
      <c r="AN61" s="277"/>
      <c r="AO61" s="277"/>
      <c r="AP61" s="277"/>
      <c r="AQ61" s="278"/>
      <c r="BN61" s="276"/>
      <c r="BO61" s="277"/>
      <c r="BP61" s="277"/>
      <c r="BQ61" s="277"/>
      <c r="BR61" s="277"/>
      <c r="BS61" s="277"/>
      <c r="BT61" s="277"/>
      <c r="BU61" s="277"/>
      <c r="BV61" s="277"/>
      <c r="BW61" s="277"/>
      <c r="BX61" s="277"/>
      <c r="BY61" s="277"/>
      <c r="BZ61" s="277"/>
      <c r="CA61" s="277"/>
      <c r="CB61" s="277"/>
      <c r="CC61" s="277"/>
      <c r="CD61" s="277"/>
      <c r="CE61" s="277"/>
      <c r="CF61" s="277"/>
      <c r="CG61" s="277"/>
      <c r="CH61" s="277"/>
      <c r="CI61" s="277"/>
      <c r="CJ61" s="277"/>
      <c r="CK61" s="277"/>
      <c r="CL61" s="277"/>
      <c r="CM61" s="277"/>
      <c r="CN61" s="277"/>
      <c r="CO61" s="277"/>
      <c r="CP61" s="277"/>
      <c r="CQ61" s="277"/>
      <c r="CR61" s="277"/>
      <c r="CS61" s="278"/>
    </row>
    <row r="62" spans="12:97" ht="17.399999999999999" customHeight="1" x14ac:dyDescent="0.4">
      <c r="L62" s="276"/>
      <c r="M62" s="277"/>
      <c r="N62" s="277"/>
      <c r="O62" s="277"/>
      <c r="P62" s="277"/>
      <c r="Q62" s="277"/>
      <c r="R62" s="277"/>
      <c r="S62" s="277"/>
      <c r="T62" s="277"/>
      <c r="U62" s="277"/>
      <c r="V62" s="277"/>
      <c r="W62" s="277"/>
      <c r="X62" s="277"/>
      <c r="Y62" s="277"/>
      <c r="Z62" s="277"/>
      <c r="AA62" s="277"/>
      <c r="AB62" s="277"/>
      <c r="AC62" s="277"/>
      <c r="AD62" s="277"/>
      <c r="AE62" s="277"/>
      <c r="AF62" s="277"/>
      <c r="AG62" s="277"/>
      <c r="AH62" s="277"/>
      <c r="AI62" s="277"/>
      <c r="AJ62" s="277"/>
      <c r="AK62" s="277"/>
      <c r="AL62" s="277"/>
      <c r="AM62" s="277"/>
      <c r="AN62" s="277"/>
      <c r="AO62" s="277"/>
      <c r="AP62" s="277"/>
      <c r="AQ62" s="278"/>
      <c r="BN62" s="276"/>
      <c r="BO62" s="277"/>
      <c r="BP62" s="277"/>
      <c r="BQ62" s="277"/>
      <c r="BR62" s="277"/>
      <c r="BS62" s="277"/>
      <c r="BT62" s="277"/>
      <c r="BU62" s="277"/>
      <c r="BV62" s="277"/>
      <c r="BW62" s="277"/>
      <c r="BX62" s="277"/>
      <c r="BY62" s="277"/>
      <c r="BZ62" s="277"/>
      <c r="CA62" s="277"/>
      <c r="CB62" s="277"/>
      <c r="CC62" s="277"/>
      <c r="CD62" s="277"/>
      <c r="CE62" s="277"/>
      <c r="CF62" s="277"/>
      <c r="CG62" s="277"/>
      <c r="CH62" s="277"/>
      <c r="CI62" s="277"/>
      <c r="CJ62" s="277"/>
      <c r="CK62" s="277"/>
      <c r="CL62" s="277"/>
      <c r="CM62" s="277"/>
      <c r="CN62" s="277"/>
      <c r="CO62" s="277"/>
      <c r="CP62" s="277"/>
      <c r="CQ62" s="277"/>
      <c r="CR62" s="277"/>
      <c r="CS62" s="278"/>
    </row>
    <row r="63" spans="12:97" ht="17.399999999999999" customHeight="1" x14ac:dyDescent="0.4">
      <c r="L63" s="276"/>
      <c r="M63" s="277"/>
      <c r="N63" s="277"/>
      <c r="O63" s="277"/>
      <c r="P63" s="277"/>
      <c r="Q63" s="277"/>
      <c r="R63" s="277"/>
      <c r="S63" s="277"/>
      <c r="T63" s="277"/>
      <c r="U63" s="277"/>
      <c r="V63" s="277"/>
      <c r="W63" s="277"/>
      <c r="X63" s="277"/>
      <c r="Y63" s="277"/>
      <c r="Z63" s="277"/>
      <c r="AA63" s="277"/>
      <c r="AB63" s="277"/>
      <c r="AC63" s="277"/>
      <c r="AD63" s="277"/>
      <c r="AE63" s="277"/>
      <c r="AF63" s="277"/>
      <c r="AG63" s="277"/>
      <c r="AH63" s="277"/>
      <c r="AI63" s="277"/>
      <c r="AJ63" s="277"/>
      <c r="AK63" s="277"/>
      <c r="AL63" s="277"/>
      <c r="AM63" s="277"/>
      <c r="AN63" s="277"/>
      <c r="AO63" s="277"/>
      <c r="AP63" s="277"/>
      <c r="AQ63" s="278"/>
      <c r="BN63" s="276"/>
      <c r="BO63" s="277"/>
      <c r="BP63" s="277"/>
      <c r="BQ63" s="277"/>
      <c r="BR63" s="277"/>
      <c r="BS63" s="277"/>
      <c r="BT63" s="277"/>
      <c r="BU63" s="277"/>
      <c r="BV63" s="277"/>
      <c r="BW63" s="277"/>
      <c r="BX63" s="277"/>
      <c r="BY63" s="277"/>
      <c r="BZ63" s="277"/>
      <c r="CA63" s="277"/>
      <c r="CB63" s="277"/>
      <c r="CC63" s="277"/>
      <c r="CD63" s="277"/>
      <c r="CE63" s="277"/>
      <c r="CF63" s="277"/>
      <c r="CG63" s="277"/>
      <c r="CH63" s="277"/>
      <c r="CI63" s="277"/>
      <c r="CJ63" s="277"/>
      <c r="CK63" s="277"/>
      <c r="CL63" s="277"/>
      <c r="CM63" s="277"/>
      <c r="CN63" s="277"/>
      <c r="CO63" s="277"/>
      <c r="CP63" s="277"/>
      <c r="CQ63" s="277"/>
      <c r="CR63" s="277"/>
      <c r="CS63" s="278"/>
    </row>
    <row r="64" spans="12:97" ht="17.399999999999999" customHeight="1" x14ac:dyDescent="0.4">
      <c r="L64" s="276"/>
      <c r="M64" s="277"/>
      <c r="N64" s="277"/>
      <c r="O64" s="277"/>
      <c r="P64" s="277"/>
      <c r="Q64" s="277"/>
      <c r="R64" s="277"/>
      <c r="S64" s="277"/>
      <c r="T64" s="277"/>
      <c r="U64" s="277"/>
      <c r="V64" s="277"/>
      <c r="W64" s="277"/>
      <c r="X64" s="277"/>
      <c r="Y64" s="277"/>
      <c r="Z64" s="277"/>
      <c r="AA64" s="277"/>
      <c r="AB64" s="277"/>
      <c r="AC64" s="277"/>
      <c r="AD64" s="277"/>
      <c r="AE64" s="277"/>
      <c r="AF64" s="277"/>
      <c r="AG64" s="277"/>
      <c r="AH64" s="277"/>
      <c r="AI64" s="277"/>
      <c r="AJ64" s="277"/>
      <c r="AK64" s="277"/>
      <c r="AL64" s="277"/>
      <c r="AM64" s="277"/>
      <c r="AN64" s="277"/>
      <c r="AO64" s="277"/>
      <c r="AP64" s="277"/>
      <c r="AQ64" s="278"/>
      <c r="BN64" s="276"/>
      <c r="BO64" s="277"/>
      <c r="BP64" s="277"/>
      <c r="BQ64" s="277"/>
      <c r="BR64" s="277"/>
      <c r="BS64" s="277"/>
      <c r="BT64" s="277"/>
      <c r="BU64" s="277"/>
      <c r="BV64" s="277"/>
      <c r="BW64" s="277"/>
      <c r="BX64" s="277"/>
      <c r="BY64" s="277"/>
      <c r="BZ64" s="277"/>
      <c r="CA64" s="277"/>
      <c r="CB64" s="277"/>
      <c r="CC64" s="277"/>
      <c r="CD64" s="277"/>
      <c r="CE64" s="277"/>
      <c r="CF64" s="277"/>
      <c r="CG64" s="277"/>
      <c r="CH64" s="277"/>
      <c r="CI64" s="277"/>
      <c r="CJ64" s="277"/>
      <c r="CK64" s="277"/>
      <c r="CL64" s="277"/>
      <c r="CM64" s="277"/>
      <c r="CN64" s="277"/>
      <c r="CO64" s="277"/>
      <c r="CP64" s="277"/>
      <c r="CQ64" s="277"/>
      <c r="CR64" s="277"/>
      <c r="CS64" s="278"/>
    </row>
    <row r="65" spans="10:97" ht="17.399999999999999" customHeight="1" x14ac:dyDescent="0.4">
      <c r="L65" s="276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Y65" s="277"/>
      <c r="Z65" s="277"/>
      <c r="AA65" s="277"/>
      <c r="AB65" s="277"/>
      <c r="AC65" s="277"/>
      <c r="AD65" s="277"/>
      <c r="AE65" s="277"/>
      <c r="AF65" s="277"/>
      <c r="AG65" s="277"/>
      <c r="AH65" s="277"/>
      <c r="AI65" s="277"/>
      <c r="AJ65" s="277"/>
      <c r="AK65" s="277"/>
      <c r="AL65" s="277"/>
      <c r="AM65" s="277"/>
      <c r="AN65" s="277"/>
      <c r="AO65" s="277"/>
      <c r="AP65" s="277"/>
      <c r="AQ65" s="278"/>
      <c r="BN65" s="276"/>
      <c r="BO65" s="277"/>
      <c r="BP65" s="277"/>
      <c r="BQ65" s="277"/>
      <c r="BR65" s="277"/>
      <c r="BS65" s="277"/>
      <c r="BT65" s="277"/>
      <c r="BU65" s="277"/>
      <c r="BV65" s="277"/>
      <c r="BW65" s="277"/>
      <c r="BX65" s="277"/>
      <c r="BY65" s="277"/>
      <c r="BZ65" s="277"/>
      <c r="CA65" s="277"/>
      <c r="CB65" s="277"/>
      <c r="CC65" s="277"/>
      <c r="CD65" s="277"/>
      <c r="CE65" s="277"/>
      <c r="CF65" s="277"/>
      <c r="CG65" s="277"/>
      <c r="CH65" s="277"/>
      <c r="CI65" s="277"/>
      <c r="CJ65" s="277"/>
      <c r="CK65" s="277"/>
      <c r="CL65" s="277"/>
      <c r="CM65" s="277"/>
      <c r="CN65" s="277"/>
      <c r="CO65" s="277"/>
      <c r="CP65" s="277"/>
      <c r="CQ65" s="277"/>
      <c r="CR65" s="277"/>
      <c r="CS65" s="278"/>
    </row>
    <row r="66" spans="10:97" ht="17.399999999999999" customHeight="1" x14ac:dyDescent="0.4">
      <c r="L66" s="276"/>
      <c r="M66" s="277"/>
      <c r="N66" s="277"/>
      <c r="O66" s="277"/>
      <c r="P66" s="277"/>
      <c r="Q66" s="277"/>
      <c r="R66" s="277"/>
      <c r="S66" s="277"/>
      <c r="T66" s="277"/>
      <c r="U66" s="277"/>
      <c r="V66" s="277"/>
      <c r="W66" s="277"/>
      <c r="X66" s="277"/>
      <c r="Y66" s="277"/>
      <c r="Z66" s="277"/>
      <c r="AA66" s="277"/>
      <c r="AB66" s="277"/>
      <c r="AC66" s="277"/>
      <c r="AD66" s="277"/>
      <c r="AE66" s="277"/>
      <c r="AF66" s="277"/>
      <c r="AG66" s="277"/>
      <c r="AH66" s="277"/>
      <c r="AI66" s="277"/>
      <c r="AJ66" s="277"/>
      <c r="AK66" s="277"/>
      <c r="AL66" s="277"/>
      <c r="AM66" s="277"/>
      <c r="AN66" s="277"/>
      <c r="AO66" s="277"/>
      <c r="AP66" s="277"/>
      <c r="AQ66" s="278"/>
      <c r="BN66" s="276"/>
      <c r="BO66" s="277"/>
      <c r="BP66" s="277"/>
      <c r="BQ66" s="277"/>
      <c r="BR66" s="277"/>
      <c r="BS66" s="277"/>
      <c r="BT66" s="277"/>
      <c r="BU66" s="277"/>
      <c r="BV66" s="277"/>
      <c r="BW66" s="277"/>
      <c r="BX66" s="277"/>
      <c r="BY66" s="277"/>
      <c r="BZ66" s="277"/>
      <c r="CA66" s="277"/>
      <c r="CB66" s="277"/>
      <c r="CC66" s="277"/>
      <c r="CD66" s="277"/>
      <c r="CE66" s="277"/>
      <c r="CF66" s="277"/>
      <c r="CG66" s="277"/>
      <c r="CH66" s="277"/>
      <c r="CI66" s="277"/>
      <c r="CJ66" s="277"/>
      <c r="CK66" s="277"/>
      <c r="CL66" s="277"/>
      <c r="CM66" s="277"/>
      <c r="CN66" s="277"/>
      <c r="CO66" s="277"/>
      <c r="CP66" s="277"/>
      <c r="CQ66" s="277"/>
      <c r="CR66" s="277"/>
      <c r="CS66" s="278"/>
    </row>
    <row r="67" spans="10:97" ht="17.399999999999999" customHeight="1" x14ac:dyDescent="0.4">
      <c r="L67" s="276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7"/>
      <c r="X67" s="277"/>
      <c r="Y67" s="277"/>
      <c r="Z67" s="277"/>
      <c r="AA67" s="277"/>
      <c r="AB67" s="277"/>
      <c r="AC67" s="277"/>
      <c r="AD67" s="277"/>
      <c r="AE67" s="277"/>
      <c r="AF67" s="277"/>
      <c r="AG67" s="277"/>
      <c r="AH67" s="277"/>
      <c r="AI67" s="277"/>
      <c r="AJ67" s="277"/>
      <c r="AK67" s="277"/>
      <c r="AL67" s="277"/>
      <c r="AM67" s="277"/>
      <c r="AN67" s="277"/>
      <c r="AO67" s="277"/>
      <c r="AP67" s="277"/>
      <c r="AQ67" s="278"/>
      <c r="BN67" s="276"/>
      <c r="BO67" s="277"/>
      <c r="BP67" s="277"/>
      <c r="BQ67" s="277"/>
      <c r="BR67" s="277"/>
      <c r="BS67" s="277"/>
      <c r="BT67" s="277"/>
      <c r="BU67" s="277"/>
      <c r="BV67" s="277"/>
      <c r="BW67" s="277"/>
      <c r="BX67" s="277"/>
      <c r="BY67" s="277"/>
      <c r="BZ67" s="277"/>
      <c r="CA67" s="277"/>
      <c r="CB67" s="277"/>
      <c r="CC67" s="277"/>
      <c r="CD67" s="277"/>
      <c r="CE67" s="277"/>
      <c r="CF67" s="277"/>
      <c r="CG67" s="277"/>
      <c r="CH67" s="277"/>
      <c r="CI67" s="277"/>
      <c r="CJ67" s="277"/>
      <c r="CK67" s="277"/>
      <c r="CL67" s="277"/>
      <c r="CM67" s="277"/>
      <c r="CN67" s="277"/>
      <c r="CO67" s="277"/>
      <c r="CP67" s="277"/>
      <c r="CQ67" s="277"/>
      <c r="CR67" s="277"/>
      <c r="CS67" s="278"/>
    </row>
    <row r="68" spans="10:97" ht="17.399999999999999" customHeight="1" x14ac:dyDescent="0.4">
      <c r="L68" s="276"/>
      <c r="M68" s="277"/>
      <c r="N68" s="277"/>
      <c r="O68" s="277"/>
      <c r="P68" s="277"/>
      <c r="Q68" s="277"/>
      <c r="R68" s="277"/>
      <c r="S68" s="277"/>
      <c r="T68" s="277"/>
      <c r="U68" s="277"/>
      <c r="V68" s="277"/>
      <c r="W68" s="277"/>
      <c r="X68" s="277"/>
      <c r="Y68" s="277"/>
      <c r="Z68" s="277"/>
      <c r="AA68" s="277"/>
      <c r="AB68" s="277"/>
      <c r="AC68" s="277"/>
      <c r="AD68" s="277"/>
      <c r="AE68" s="277"/>
      <c r="AF68" s="277"/>
      <c r="AG68" s="277"/>
      <c r="AH68" s="277"/>
      <c r="AI68" s="277"/>
      <c r="AJ68" s="277"/>
      <c r="AK68" s="277"/>
      <c r="AL68" s="277"/>
      <c r="AM68" s="277"/>
      <c r="AN68" s="277"/>
      <c r="AO68" s="277"/>
      <c r="AP68" s="277"/>
      <c r="AQ68" s="278"/>
      <c r="BN68" s="276"/>
      <c r="BO68" s="277"/>
      <c r="BP68" s="277"/>
      <c r="BQ68" s="277"/>
      <c r="BR68" s="277"/>
      <c r="BS68" s="277"/>
      <c r="BT68" s="277"/>
      <c r="BU68" s="277"/>
      <c r="BV68" s="277"/>
      <c r="BW68" s="277"/>
      <c r="BX68" s="277"/>
      <c r="BY68" s="277"/>
      <c r="BZ68" s="277"/>
      <c r="CA68" s="277"/>
      <c r="CB68" s="277"/>
      <c r="CC68" s="277"/>
      <c r="CD68" s="277"/>
      <c r="CE68" s="277"/>
      <c r="CF68" s="277"/>
      <c r="CG68" s="277"/>
      <c r="CH68" s="277"/>
      <c r="CI68" s="277"/>
      <c r="CJ68" s="277"/>
      <c r="CK68" s="277"/>
      <c r="CL68" s="277"/>
      <c r="CM68" s="277"/>
      <c r="CN68" s="277"/>
      <c r="CO68" s="277"/>
      <c r="CP68" s="277"/>
      <c r="CQ68" s="277"/>
      <c r="CR68" s="277"/>
      <c r="CS68" s="278"/>
    </row>
    <row r="69" spans="10:97" ht="17.399999999999999" customHeight="1" x14ac:dyDescent="0.4">
      <c r="L69" s="276"/>
      <c r="M69" s="277"/>
      <c r="N69" s="277"/>
      <c r="O69" s="277"/>
      <c r="P69" s="277"/>
      <c r="Q69" s="277"/>
      <c r="R69" s="277"/>
      <c r="S69" s="277"/>
      <c r="T69" s="277"/>
      <c r="U69" s="277"/>
      <c r="V69" s="277"/>
      <c r="W69" s="277"/>
      <c r="X69" s="277"/>
      <c r="Y69" s="277"/>
      <c r="Z69" s="277"/>
      <c r="AA69" s="277"/>
      <c r="AB69" s="277"/>
      <c r="AC69" s="277"/>
      <c r="AD69" s="277"/>
      <c r="AE69" s="277"/>
      <c r="AF69" s="277"/>
      <c r="AG69" s="277"/>
      <c r="AH69" s="277"/>
      <c r="AI69" s="277"/>
      <c r="AJ69" s="277"/>
      <c r="AK69" s="277"/>
      <c r="AL69" s="277"/>
      <c r="AM69" s="277"/>
      <c r="AN69" s="277"/>
      <c r="AO69" s="277"/>
      <c r="AP69" s="277"/>
      <c r="AQ69" s="278"/>
      <c r="BN69" s="276"/>
      <c r="BO69" s="277"/>
      <c r="BP69" s="277"/>
      <c r="BQ69" s="277"/>
      <c r="BR69" s="277"/>
      <c r="BS69" s="277"/>
      <c r="BT69" s="277"/>
      <c r="BU69" s="277"/>
      <c r="BV69" s="277"/>
      <c r="BW69" s="277"/>
      <c r="BX69" s="277"/>
      <c r="BY69" s="277"/>
      <c r="BZ69" s="277"/>
      <c r="CA69" s="277"/>
      <c r="CB69" s="277"/>
      <c r="CC69" s="277"/>
      <c r="CD69" s="277"/>
      <c r="CE69" s="277"/>
      <c r="CF69" s="277"/>
      <c r="CG69" s="277"/>
      <c r="CH69" s="277"/>
      <c r="CI69" s="277"/>
      <c r="CJ69" s="277"/>
      <c r="CK69" s="277"/>
      <c r="CL69" s="277"/>
      <c r="CM69" s="277"/>
      <c r="CN69" s="277"/>
      <c r="CO69" s="277"/>
      <c r="CP69" s="277"/>
      <c r="CQ69" s="277"/>
      <c r="CR69" s="277"/>
      <c r="CS69" s="278"/>
    </row>
    <row r="70" spans="10:97" ht="17.399999999999999" customHeight="1" x14ac:dyDescent="0.4">
      <c r="L70" s="276"/>
      <c r="M70" s="277"/>
      <c r="N70" s="277"/>
      <c r="O70" s="277"/>
      <c r="P70" s="277"/>
      <c r="Q70" s="277"/>
      <c r="R70" s="277"/>
      <c r="S70" s="277"/>
      <c r="T70" s="277"/>
      <c r="U70" s="277"/>
      <c r="V70" s="277"/>
      <c r="W70" s="277"/>
      <c r="X70" s="277"/>
      <c r="Y70" s="277"/>
      <c r="Z70" s="277"/>
      <c r="AA70" s="277"/>
      <c r="AB70" s="277"/>
      <c r="AC70" s="277"/>
      <c r="AD70" s="277"/>
      <c r="AE70" s="277"/>
      <c r="AF70" s="277"/>
      <c r="AG70" s="277"/>
      <c r="AH70" s="277"/>
      <c r="AI70" s="277"/>
      <c r="AJ70" s="277"/>
      <c r="AK70" s="277"/>
      <c r="AL70" s="277"/>
      <c r="AM70" s="277"/>
      <c r="AN70" s="277"/>
      <c r="AO70" s="277"/>
      <c r="AP70" s="277"/>
      <c r="AQ70" s="278"/>
      <c r="BN70" s="276"/>
      <c r="BO70" s="277"/>
      <c r="BP70" s="277"/>
      <c r="BQ70" s="277"/>
      <c r="BR70" s="277"/>
      <c r="BS70" s="277"/>
      <c r="BT70" s="277"/>
      <c r="BU70" s="277"/>
      <c r="BV70" s="277"/>
      <c r="BW70" s="277"/>
      <c r="BX70" s="277"/>
      <c r="BY70" s="277"/>
      <c r="BZ70" s="277"/>
      <c r="CA70" s="277"/>
      <c r="CB70" s="277"/>
      <c r="CC70" s="277"/>
      <c r="CD70" s="277"/>
      <c r="CE70" s="277"/>
      <c r="CF70" s="277"/>
      <c r="CG70" s="277"/>
      <c r="CH70" s="277"/>
      <c r="CI70" s="277"/>
      <c r="CJ70" s="277"/>
      <c r="CK70" s="277"/>
      <c r="CL70" s="277"/>
      <c r="CM70" s="277"/>
      <c r="CN70" s="277"/>
      <c r="CO70" s="277"/>
      <c r="CP70" s="277"/>
      <c r="CQ70" s="277"/>
      <c r="CR70" s="277"/>
      <c r="CS70" s="278"/>
    </row>
    <row r="71" spans="10:97" ht="17.399999999999999" customHeight="1" x14ac:dyDescent="0.4">
      <c r="L71" s="276"/>
      <c r="M71" s="277"/>
      <c r="N71" s="277"/>
      <c r="O71" s="277"/>
      <c r="P71" s="277"/>
      <c r="Q71" s="277"/>
      <c r="R71" s="277"/>
      <c r="S71" s="277"/>
      <c r="T71" s="277"/>
      <c r="U71" s="277"/>
      <c r="V71" s="277"/>
      <c r="W71" s="277"/>
      <c r="X71" s="277"/>
      <c r="Y71" s="277"/>
      <c r="Z71" s="277"/>
      <c r="AA71" s="277"/>
      <c r="AB71" s="277"/>
      <c r="AC71" s="277"/>
      <c r="AD71" s="277"/>
      <c r="AE71" s="277"/>
      <c r="AF71" s="277"/>
      <c r="AG71" s="277"/>
      <c r="AH71" s="277"/>
      <c r="AI71" s="277"/>
      <c r="AJ71" s="277"/>
      <c r="AK71" s="277"/>
      <c r="AL71" s="277"/>
      <c r="AM71" s="277"/>
      <c r="AN71" s="277"/>
      <c r="AO71" s="277"/>
      <c r="AP71" s="277"/>
      <c r="AQ71" s="278"/>
      <c r="BN71" s="276"/>
      <c r="BO71" s="277"/>
      <c r="BP71" s="277"/>
      <c r="BQ71" s="277"/>
      <c r="BR71" s="277"/>
      <c r="BS71" s="277"/>
      <c r="BT71" s="277"/>
      <c r="BU71" s="277"/>
      <c r="BV71" s="277"/>
      <c r="BW71" s="277"/>
      <c r="BX71" s="277"/>
      <c r="BY71" s="277"/>
      <c r="BZ71" s="277"/>
      <c r="CA71" s="277"/>
      <c r="CB71" s="277"/>
      <c r="CC71" s="277"/>
      <c r="CD71" s="277"/>
      <c r="CE71" s="277"/>
      <c r="CF71" s="277"/>
      <c r="CG71" s="277"/>
      <c r="CH71" s="277"/>
      <c r="CI71" s="277"/>
      <c r="CJ71" s="277"/>
      <c r="CK71" s="277"/>
      <c r="CL71" s="277"/>
      <c r="CM71" s="277"/>
      <c r="CN71" s="277"/>
      <c r="CO71" s="277"/>
      <c r="CP71" s="277"/>
      <c r="CQ71" s="277"/>
      <c r="CR71" s="277"/>
      <c r="CS71" s="278"/>
    </row>
    <row r="72" spans="10:97" ht="17.399999999999999" customHeight="1" x14ac:dyDescent="0.4">
      <c r="L72" s="276"/>
      <c r="M72" s="277"/>
      <c r="N72" s="277"/>
      <c r="O72" s="277"/>
      <c r="P72" s="277"/>
      <c r="Q72" s="277"/>
      <c r="R72" s="277"/>
      <c r="S72" s="277"/>
      <c r="T72" s="277"/>
      <c r="U72" s="277"/>
      <c r="V72" s="277"/>
      <c r="W72" s="277"/>
      <c r="X72" s="277"/>
      <c r="Y72" s="277"/>
      <c r="Z72" s="277"/>
      <c r="AA72" s="277"/>
      <c r="AB72" s="277"/>
      <c r="AC72" s="277"/>
      <c r="AD72" s="277"/>
      <c r="AE72" s="277"/>
      <c r="AF72" s="277"/>
      <c r="AG72" s="277"/>
      <c r="AH72" s="277"/>
      <c r="AI72" s="277"/>
      <c r="AJ72" s="277"/>
      <c r="AK72" s="277"/>
      <c r="AL72" s="277"/>
      <c r="AM72" s="277"/>
      <c r="AN72" s="277"/>
      <c r="AO72" s="277"/>
      <c r="AP72" s="277"/>
      <c r="AQ72" s="278"/>
      <c r="BN72" s="276"/>
      <c r="BO72" s="277"/>
      <c r="BP72" s="277"/>
      <c r="BQ72" s="277"/>
      <c r="BR72" s="277"/>
      <c r="BS72" s="277"/>
      <c r="BT72" s="277"/>
      <c r="BU72" s="277"/>
      <c r="BV72" s="277"/>
      <c r="BW72" s="277"/>
      <c r="BX72" s="277"/>
      <c r="BY72" s="277"/>
      <c r="BZ72" s="277"/>
      <c r="CA72" s="277"/>
      <c r="CB72" s="277"/>
      <c r="CC72" s="277"/>
      <c r="CD72" s="277"/>
      <c r="CE72" s="277"/>
      <c r="CF72" s="277"/>
      <c r="CG72" s="277"/>
      <c r="CH72" s="277"/>
      <c r="CI72" s="277"/>
      <c r="CJ72" s="277"/>
      <c r="CK72" s="277"/>
      <c r="CL72" s="277"/>
      <c r="CM72" s="277"/>
      <c r="CN72" s="277"/>
      <c r="CO72" s="277"/>
      <c r="CP72" s="277"/>
      <c r="CQ72" s="277"/>
      <c r="CR72" s="277"/>
      <c r="CS72" s="278"/>
    </row>
    <row r="73" spans="10:97" ht="17.399999999999999" customHeight="1" x14ac:dyDescent="0.4">
      <c r="L73" s="276"/>
      <c r="M73" s="277"/>
      <c r="N73" s="277"/>
      <c r="O73" s="277"/>
      <c r="P73" s="277"/>
      <c r="Q73" s="277"/>
      <c r="R73" s="277"/>
      <c r="S73" s="277"/>
      <c r="T73" s="277"/>
      <c r="U73" s="277"/>
      <c r="V73" s="277"/>
      <c r="W73" s="277"/>
      <c r="X73" s="277"/>
      <c r="Y73" s="277"/>
      <c r="Z73" s="277"/>
      <c r="AA73" s="277"/>
      <c r="AB73" s="277"/>
      <c r="AC73" s="277"/>
      <c r="AD73" s="277"/>
      <c r="AE73" s="277"/>
      <c r="AF73" s="277"/>
      <c r="AG73" s="277"/>
      <c r="AH73" s="277"/>
      <c r="AI73" s="277"/>
      <c r="AJ73" s="277"/>
      <c r="AK73" s="277"/>
      <c r="AL73" s="277"/>
      <c r="AM73" s="277"/>
      <c r="AN73" s="277"/>
      <c r="AO73" s="277"/>
      <c r="AP73" s="277"/>
      <c r="AQ73" s="278"/>
      <c r="BN73" s="276"/>
      <c r="BO73" s="277"/>
      <c r="BP73" s="277"/>
      <c r="BQ73" s="277"/>
      <c r="BR73" s="277"/>
      <c r="BS73" s="277"/>
      <c r="BT73" s="277"/>
      <c r="BU73" s="277"/>
      <c r="BV73" s="277"/>
      <c r="BW73" s="277"/>
      <c r="BX73" s="277"/>
      <c r="BY73" s="277"/>
      <c r="BZ73" s="277"/>
      <c r="CA73" s="277"/>
      <c r="CB73" s="277"/>
      <c r="CC73" s="277"/>
      <c r="CD73" s="277"/>
      <c r="CE73" s="277"/>
      <c r="CF73" s="277"/>
      <c r="CG73" s="277"/>
      <c r="CH73" s="277"/>
      <c r="CI73" s="277"/>
      <c r="CJ73" s="277"/>
      <c r="CK73" s="277"/>
      <c r="CL73" s="277"/>
      <c r="CM73" s="277"/>
      <c r="CN73" s="277"/>
      <c r="CO73" s="277"/>
      <c r="CP73" s="277"/>
      <c r="CQ73" s="277"/>
      <c r="CR73" s="277"/>
      <c r="CS73" s="278"/>
    </row>
    <row r="74" spans="10:97" ht="17.399999999999999" customHeight="1" x14ac:dyDescent="0.4">
      <c r="L74" s="276"/>
      <c r="M74" s="277"/>
      <c r="N74" s="277"/>
      <c r="O74" s="277"/>
      <c r="P74" s="277"/>
      <c r="Q74" s="277"/>
      <c r="R74" s="277"/>
      <c r="S74" s="277"/>
      <c r="T74" s="277"/>
      <c r="U74" s="277"/>
      <c r="V74" s="277"/>
      <c r="W74" s="277"/>
      <c r="X74" s="277"/>
      <c r="Y74" s="277"/>
      <c r="Z74" s="277"/>
      <c r="AA74" s="277"/>
      <c r="AB74" s="277"/>
      <c r="AC74" s="277"/>
      <c r="AD74" s="277"/>
      <c r="AE74" s="277"/>
      <c r="AF74" s="277"/>
      <c r="AG74" s="277"/>
      <c r="AH74" s="277"/>
      <c r="AI74" s="277"/>
      <c r="AJ74" s="277"/>
      <c r="AK74" s="277"/>
      <c r="AL74" s="277"/>
      <c r="AM74" s="277"/>
      <c r="AN74" s="277"/>
      <c r="AO74" s="277"/>
      <c r="AP74" s="277"/>
      <c r="AQ74" s="278"/>
      <c r="BN74" s="276"/>
      <c r="BO74" s="277"/>
      <c r="BP74" s="277"/>
      <c r="BQ74" s="277"/>
      <c r="BR74" s="277"/>
      <c r="BS74" s="277"/>
      <c r="BT74" s="277"/>
      <c r="BU74" s="277"/>
      <c r="BV74" s="277"/>
      <c r="BW74" s="277"/>
      <c r="BX74" s="277"/>
      <c r="BY74" s="277"/>
      <c r="BZ74" s="277"/>
      <c r="CA74" s="277"/>
      <c r="CB74" s="277"/>
      <c r="CC74" s="277"/>
      <c r="CD74" s="277"/>
      <c r="CE74" s="277"/>
      <c r="CF74" s="277"/>
      <c r="CG74" s="277"/>
      <c r="CH74" s="277"/>
      <c r="CI74" s="277"/>
      <c r="CJ74" s="277"/>
      <c r="CK74" s="277"/>
      <c r="CL74" s="277"/>
      <c r="CM74" s="277"/>
      <c r="CN74" s="277"/>
      <c r="CO74" s="277"/>
      <c r="CP74" s="277"/>
      <c r="CQ74" s="277"/>
      <c r="CR74" s="277"/>
      <c r="CS74" s="278"/>
    </row>
    <row r="75" spans="10:97" ht="17.399999999999999" customHeight="1" x14ac:dyDescent="0.4">
      <c r="L75" s="276"/>
      <c r="M75" s="277"/>
      <c r="N75" s="277"/>
      <c r="O75" s="277"/>
      <c r="P75" s="277"/>
      <c r="Q75" s="277"/>
      <c r="R75" s="277"/>
      <c r="S75" s="277"/>
      <c r="T75" s="277"/>
      <c r="U75" s="277"/>
      <c r="V75" s="277"/>
      <c r="W75" s="277"/>
      <c r="X75" s="277"/>
      <c r="Y75" s="277"/>
      <c r="Z75" s="277"/>
      <c r="AA75" s="277"/>
      <c r="AB75" s="277"/>
      <c r="AC75" s="277"/>
      <c r="AD75" s="277"/>
      <c r="AE75" s="277"/>
      <c r="AF75" s="277"/>
      <c r="AG75" s="277"/>
      <c r="AH75" s="277"/>
      <c r="AI75" s="277"/>
      <c r="AJ75" s="277"/>
      <c r="AK75" s="277"/>
      <c r="AL75" s="277"/>
      <c r="AM75" s="277"/>
      <c r="AN75" s="277"/>
      <c r="AO75" s="277"/>
      <c r="AP75" s="277"/>
      <c r="AQ75" s="278"/>
      <c r="BN75" s="276"/>
      <c r="BO75" s="277"/>
      <c r="BP75" s="277"/>
      <c r="BQ75" s="277"/>
      <c r="BR75" s="277"/>
      <c r="BS75" s="277"/>
      <c r="BT75" s="277"/>
      <c r="BU75" s="277"/>
      <c r="BV75" s="277"/>
      <c r="BW75" s="277"/>
      <c r="BX75" s="277"/>
      <c r="BY75" s="277"/>
      <c r="BZ75" s="277"/>
      <c r="CA75" s="277"/>
      <c r="CB75" s="277"/>
      <c r="CC75" s="277"/>
      <c r="CD75" s="277"/>
      <c r="CE75" s="277"/>
      <c r="CF75" s="277"/>
      <c r="CG75" s="277"/>
      <c r="CH75" s="277"/>
      <c r="CI75" s="277"/>
      <c r="CJ75" s="277"/>
      <c r="CK75" s="277"/>
      <c r="CL75" s="277"/>
      <c r="CM75" s="277"/>
      <c r="CN75" s="277"/>
      <c r="CO75" s="277"/>
      <c r="CP75" s="277"/>
      <c r="CQ75" s="277"/>
      <c r="CR75" s="277"/>
      <c r="CS75" s="278"/>
    </row>
    <row r="76" spans="10:97" ht="17.399999999999999" customHeight="1" x14ac:dyDescent="0.4">
      <c r="L76" s="276"/>
      <c r="M76" s="277"/>
      <c r="N76" s="277"/>
      <c r="O76" s="277"/>
      <c r="P76" s="277"/>
      <c r="Q76" s="277"/>
      <c r="R76" s="277"/>
      <c r="S76" s="277"/>
      <c r="T76" s="277"/>
      <c r="U76" s="277"/>
      <c r="V76" s="277"/>
      <c r="W76" s="277"/>
      <c r="X76" s="277"/>
      <c r="Y76" s="277"/>
      <c r="Z76" s="277"/>
      <c r="AA76" s="277"/>
      <c r="AB76" s="277"/>
      <c r="AC76" s="277"/>
      <c r="AD76" s="277"/>
      <c r="AE76" s="277"/>
      <c r="AF76" s="277"/>
      <c r="AG76" s="277"/>
      <c r="AH76" s="277"/>
      <c r="AI76" s="277"/>
      <c r="AJ76" s="277"/>
      <c r="AK76" s="277"/>
      <c r="AL76" s="277"/>
      <c r="AM76" s="277"/>
      <c r="AN76" s="277"/>
      <c r="AO76" s="277"/>
      <c r="AP76" s="277"/>
      <c r="AQ76" s="278"/>
      <c r="BN76" s="276"/>
      <c r="BO76" s="277"/>
      <c r="BP76" s="277"/>
      <c r="BQ76" s="277"/>
      <c r="BR76" s="277"/>
      <c r="BS76" s="277"/>
      <c r="BT76" s="277"/>
      <c r="BU76" s="277"/>
      <c r="BV76" s="277"/>
      <c r="BW76" s="277"/>
      <c r="BX76" s="277"/>
      <c r="BY76" s="277"/>
      <c r="BZ76" s="277"/>
      <c r="CA76" s="277"/>
      <c r="CB76" s="277"/>
      <c r="CC76" s="277"/>
      <c r="CD76" s="277"/>
      <c r="CE76" s="277"/>
      <c r="CF76" s="277"/>
      <c r="CG76" s="277"/>
      <c r="CH76" s="277"/>
      <c r="CI76" s="277"/>
      <c r="CJ76" s="277"/>
      <c r="CK76" s="277"/>
      <c r="CL76" s="277"/>
      <c r="CM76" s="277"/>
      <c r="CN76" s="277"/>
      <c r="CO76" s="277"/>
      <c r="CP76" s="277"/>
      <c r="CQ76" s="277"/>
      <c r="CR76" s="277"/>
      <c r="CS76" s="278"/>
    </row>
    <row r="77" spans="10:97" ht="17.399999999999999" customHeight="1" x14ac:dyDescent="0.4">
      <c r="J77" s="70"/>
      <c r="K77" s="70"/>
      <c r="L77" s="276"/>
      <c r="M77" s="277"/>
      <c r="N77" s="277"/>
      <c r="O77" s="277"/>
      <c r="P77" s="277"/>
      <c r="Q77" s="277"/>
      <c r="R77" s="277"/>
      <c r="S77" s="277"/>
      <c r="T77" s="277"/>
      <c r="U77" s="277"/>
      <c r="V77" s="277"/>
      <c r="W77" s="277"/>
      <c r="X77" s="277"/>
      <c r="Y77" s="277"/>
      <c r="Z77" s="277"/>
      <c r="AA77" s="277"/>
      <c r="AB77" s="277"/>
      <c r="AC77" s="277"/>
      <c r="AD77" s="277"/>
      <c r="AE77" s="277"/>
      <c r="AF77" s="277"/>
      <c r="AG77" s="277"/>
      <c r="AH77" s="277"/>
      <c r="AI77" s="277"/>
      <c r="AJ77" s="277"/>
      <c r="AK77" s="277"/>
      <c r="AL77" s="277"/>
      <c r="AM77" s="277"/>
      <c r="AN77" s="277"/>
      <c r="AO77" s="277"/>
      <c r="AP77" s="277"/>
      <c r="AQ77" s="278"/>
      <c r="BN77" s="276"/>
      <c r="BO77" s="277"/>
      <c r="BP77" s="277"/>
      <c r="BQ77" s="277"/>
      <c r="BR77" s="277"/>
      <c r="BS77" s="277"/>
      <c r="BT77" s="277"/>
      <c r="BU77" s="277"/>
      <c r="BV77" s="277"/>
      <c r="BW77" s="277"/>
      <c r="BX77" s="277"/>
      <c r="BY77" s="277"/>
      <c r="BZ77" s="277"/>
      <c r="CA77" s="277"/>
      <c r="CB77" s="277"/>
      <c r="CC77" s="277"/>
      <c r="CD77" s="277"/>
      <c r="CE77" s="277"/>
      <c r="CF77" s="277"/>
      <c r="CG77" s="277"/>
      <c r="CH77" s="277"/>
      <c r="CI77" s="277"/>
      <c r="CJ77" s="277"/>
      <c r="CK77" s="277"/>
      <c r="CL77" s="277"/>
      <c r="CM77" s="277"/>
      <c r="CN77" s="277"/>
      <c r="CO77" s="277"/>
      <c r="CP77" s="277"/>
      <c r="CQ77" s="277"/>
      <c r="CR77" s="277"/>
      <c r="CS77" s="278"/>
    </row>
    <row r="78" spans="10:97" ht="17.399999999999999" customHeight="1" thickBot="1" x14ac:dyDescent="0.45">
      <c r="J78" s="69"/>
      <c r="K78" s="70"/>
      <c r="L78" s="276"/>
      <c r="M78" s="277"/>
      <c r="N78" s="277"/>
      <c r="O78" s="277"/>
      <c r="P78" s="277"/>
      <c r="Q78" s="277"/>
      <c r="R78" s="277"/>
      <c r="S78" s="277"/>
      <c r="T78" s="277"/>
      <c r="U78" s="277"/>
      <c r="V78" s="277"/>
      <c r="W78" s="277"/>
      <c r="X78" s="277"/>
      <c r="Y78" s="277"/>
      <c r="Z78" s="277"/>
      <c r="AA78" s="277"/>
      <c r="AB78" s="277"/>
      <c r="AC78" s="277"/>
      <c r="AD78" s="277"/>
      <c r="AE78" s="277"/>
      <c r="AF78" s="277"/>
      <c r="AG78" s="277"/>
      <c r="AH78" s="277"/>
      <c r="AI78" s="277"/>
      <c r="AJ78" s="277"/>
      <c r="AK78" s="277"/>
      <c r="AL78" s="277"/>
      <c r="AM78" s="277"/>
      <c r="AN78" s="277"/>
      <c r="AO78" s="277"/>
      <c r="AP78" s="277"/>
      <c r="AQ78" s="278"/>
      <c r="BN78" s="276"/>
      <c r="BO78" s="277"/>
      <c r="BP78" s="277"/>
      <c r="BQ78" s="277"/>
      <c r="BR78" s="277"/>
      <c r="BS78" s="277"/>
      <c r="BT78" s="277"/>
      <c r="BU78" s="277"/>
      <c r="BV78" s="277"/>
      <c r="BW78" s="277"/>
      <c r="BX78" s="277"/>
      <c r="BY78" s="277"/>
      <c r="BZ78" s="277"/>
      <c r="CA78" s="277"/>
      <c r="CB78" s="277"/>
      <c r="CC78" s="277"/>
      <c r="CD78" s="277"/>
      <c r="CE78" s="277"/>
      <c r="CF78" s="277"/>
      <c r="CG78" s="277"/>
      <c r="CH78" s="277"/>
      <c r="CI78" s="277"/>
      <c r="CJ78" s="277"/>
      <c r="CK78" s="277"/>
      <c r="CL78" s="277"/>
      <c r="CM78" s="277"/>
      <c r="CN78" s="277"/>
      <c r="CO78" s="277"/>
      <c r="CP78" s="277"/>
      <c r="CQ78" s="277"/>
      <c r="CR78" s="277"/>
      <c r="CS78" s="278"/>
    </row>
    <row r="79" spans="10:97" ht="17.399999999999999" customHeight="1" thickBot="1" x14ac:dyDescent="0.45">
      <c r="J79" s="70"/>
      <c r="K79" s="70"/>
      <c r="L79" s="276"/>
      <c r="M79" s="277"/>
      <c r="N79" s="277"/>
      <c r="O79" s="277"/>
      <c r="P79" s="277"/>
      <c r="Q79" s="278"/>
      <c r="R79" s="282">
        <v>15</v>
      </c>
      <c r="S79" s="283"/>
      <c r="T79" s="284"/>
      <c r="U79" s="276"/>
      <c r="V79" s="278"/>
      <c r="W79" s="282">
        <v>62</v>
      </c>
      <c r="X79" s="283"/>
      <c r="Y79" s="284"/>
      <c r="Z79" s="276"/>
      <c r="AA79" s="278"/>
      <c r="AB79" s="282">
        <v>111</v>
      </c>
      <c r="AC79" s="283"/>
      <c r="AD79" s="284"/>
      <c r="AE79" s="276"/>
      <c r="AF79" s="278"/>
      <c r="AG79" s="282">
        <v>158</v>
      </c>
      <c r="AH79" s="283"/>
      <c r="AI79" s="284"/>
      <c r="AJ79" s="276"/>
      <c r="AK79" s="278"/>
      <c r="AL79" s="282">
        <v>194</v>
      </c>
      <c r="AM79" s="283"/>
      <c r="AN79" s="284"/>
      <c r="AO79" s="276"/>
      <c r="AP79" s="277"/>
      <c r="AQ79" s="278"/>
      <c r="BN79" s="279"/>
      <c r="BO79" s="280"/>
      <c r="BP79" s="280"/>
      <c r="BQ79" s="280"/>
      <c r="BR79" s="280"/>
      <c r="BS79" s="280"/>
      <c r="BT79" s="280"/>
      <c r="BU79" s="280"/>
      <c r="BV79" s="280"/>
      <c r="BW79" s="280"/>
      <c r="BX79" s="280"/>
      <c r="BY79" s="280"/>
      <c r="BZ79" s="280"/>
      <c r="CA79" s="280"/>
      <c r="CB79" s="280"/>
      <c r="CC79" s="280"/>
      <c r="CD79" s="280"/>
      <c r="CE79" s="280"/>
      <c r="CF79" s="280"/>
      <c r="CG79" s="280"/>
      <c r="CH79" s="280"/>
      <c r="CI79" s="280"/>
      <c r="CJ79" s="280"/>
      <c r="CK79" s="280"/>
      <c r="CL79" s="280"/>
      <c r="CM79" s="280"/>
      <c r="CN79" s="280"/>
      <c r="CO79" s="280"/>
      <c r="CP79" s="280"/>
      <c r="CQ79" s="280"/>
      <c r="CR79" s="280"/>
      <c r="CS79" s="281"/>
    </row>
    <row r="80" spans="10:97" ht="17.399999999999999" customHeight="1" thickBot="1" x14ac:dyDescent="0.45">
      <c r="L80" s="276"/>
      <c r="M80" s="277"/>
      <c r="N80" s="277"/>
      <c r="O80" s="277"/>
      <c r="P80" s="277"/>
      <c r="Q80" s="278"/>
      <c r="R80" s="285"/>
      <c r="S80" s="286"/>
      <c r="T80" s="287"/>
      <c r="U80" s="276"/>
      <c r="V80" s="278"/>
      <c r="W80" s="285"/>
      <c r="X80" s="286"/>
      <c r="Y80" s="287"/>
      <c r="Z80" s="276"/>
      <c r="AA80" s="278"/>
      <c r="AB80" s="285"/>
      <c r="AC80" s="286"/>
      <c r="AD80" s="287"/>
      <c r="AE80" s="276"/>
      <c r="AF80" s="278"/>
      <c r="AG80" s="285"/>
      <c r="AH80" s="286"/>
      <c r="AI80" s="287"/>
      <c r="AJ80" s="276"/>
      <c r="AK80" s="278"/>
      <c r="AL80" s="285"/>
      <c r="AM80" s="286"/>
      <c r="AN80" s="287"/>
      <c r="AO80" s="276"/>
      <c r="AP80" s="277"/>
      <c r="AQ80" s="278"/>
    </row>
    <row r="81" spans="12:97" ht="17.399999999999999" customHeight="1" x14ac:dyDescent="0.4">
      <c r="L81" s="276"/>
      <c r="M81" s="277"/>
      <c r="N81" s="277"/>
      <c r="O81" s="277"/>
      <c r="P81" s="277"/>
      <c r="Q81" s="277"/>
      <c r="R81" s="277"/>
      <c r="S81" s="277"/>
      <c r="T81" s="277"/>
      <c r="U81" s="277"/>
      <c r="V81" s="277"/>
      <c r="W81" s="277"/>
      <c r="X81" s="277"/>
      <c r="Y81" s="277"/>
      <c r="Z81" s="277"/>
      <c r="AA81" s="277"/>
      <c r="AB81" s="277"/>
      <c r="AC81" s="277"/>
      <c r="AD81" s="277"/>
      <c r="AE81" s="277"/>
      <c r="AF81" s="277"/>
      <c r="AG81" s="277"/>
      <c r="AH81" s="277"/>
      <c r="AI81" s="277"/>
      <c r="AJ81" s="277"/>
      <c r="AK81" s="277"/>
      <c r="AL81" s="277"/>
      <c r="AM81" s="277"/>
      <c r="AN81" s="277"/>
      <c r="AO81" s="277"/>
      <c r="AP81" s="277"/>
      <c r="AQ81" s="278"/>
    </row>
    <row r="82" spans="12:97" ht="17.399999999999999" customHeight="1" thickBot="1" x14ac:dyDescent="0.45">
      <c r="L82" s="279"/>
      <c r="M82" s="280"/>
      <c r="N82" s="280"/>
      <c r="O82" s="280"/>
      <c r="P82" s="280"/>
      <c r="Q82" s="280"/>
      <c r="R82" s="280"/>
      <c r="S82" s="280"/>
      <c r="T82" s="280"/>
      <c r="U82" s="280"/>
      <c r="V82" s="280"/>
      <c r="W82" s="280"/>
      <c r="X82" s="280"/>
      <c r="Y82" s="280"/>
      <c r="Z82" s="280"/>
      <c r="AA82" s="280"/>
      <c r="AB82" s="280"/>
      <c r="AC82" s="280"/>
      <c r="AD82" s="280"/>
      <c r="AE82" s="280"/>
      <c r="AF82" s="280"/>
      <c r="AG82" s="280"/>
      <c r="AH82" s="280"/>
      <c r="AI82" s="280"/>
      <c r="AJ82" s="280"/>
      <c r="AK82" s="280"/>
      <c r="AL82" s="280"/>
      <c r="AM82" s="280"/>
      <c r="AN82" s="280"/>
      <c r="AO82" s="280"/>
      <c r="AP82" s="280"/>
      <c r="AQ82" s="281"/>
    </row>
    <row r="83" spans="12:97" ht="17.399999999999999" customHeight="1" x14ac:dyDescent="0.4">
      <c r="X83" t="s">
        <v>269</v>
      </c>
      <c r="BN83" s="273" t="s">
        <v>437</v>
      </c>
      <c r="BO83" s="274"/>
      <c r="BP83" s="274"/>
      <c r="BQ83" s="274"/>
      <c r="BR83" s="274"/>
      <c r="BS83" s="274"/>
      <c r="BT83" s="274"/>
      <c r="BU83" s="274"/>
      <c r="BV83" s="274"/>
      <c r="BW83" s="274"/>
      <c r="BX83" s="274"/>
      <c r="BY83" s="274"/>
      <c r="BZ83" s="274"/>
      <c r="CA83" s="274"/>
      <c r="CB83" s="274"/>
      <c r="CC83" s="274"/>
      <c r="CD83" s="274"/>
      <c r="CE83" s="274"/>
      <c r="CF83" s="274"/>
      <c r="CG83" s="274"/>
      <c r="CH83" s="274"/>
      <c r="CI83" s="274"/>
      <c r="CJ83" s="274"/>
      <c r="CK83" s="274"/>
      <c r="CL83" s="274"/>
      <c r="CM83" s="274"/>
      <c r="CN83" s="274"/>
      <c r="CO83" s="274"/>
      <c r="CP83" s="274"/>
      <c r="CQ83" s="274"/>
      <c r="CR83" s="274"/>
      <c r="CS83" s="275"/>
    </row>
    <row r="84" spans="12:97" ht="17.399999999999999" customHeight="1" thickBot="1" x14ac:dyDescent="0.45">
      <c r="BN84" s="276"/>
      <c r="BO84" s="277"/>
      <c r="BP84" s="277"/>
      <c r="BQ84" s="277"/>
      <c r="BR84" s="277"/>
      <c r="BS84" s="277"/>
      <c r="BT84" s="277"/>
      <c r="BU84" s="277"/>
      <c r="BV84" s="277"/>
      <c r="BW84" s="277"/>
      <c r="BX84" s="277"/>
      <c r="BY84" s="277"/>
      <c r="BZ84" s="277"/>
      <c r="CA84" s="277"/>
      <c r="CB84" s="277"/>
      <c r="CC84" s="277"/>
      <c r="CD84" s="277"/>
      <c r="CE84" s="277"/>
      <c r="CF84" s="277"/>
      <c r="CG84" s="277"/>
      <c r="CH84" s="277"/>
      <c r="CI84" s="277"/>
      <c r="CJ84" s="277"/>
      <c r="CK84" s="277"/>
      <c r="CL84" s="277"/>
      <c r="CM84" s="277"/>
      <c r="CN84" s="277"/>
      <c r="CO84" s="277"/>
      <c r="CP84" s="277"/>
      <c r="CQ84" s="277"/>
      <c r="CR84" s="277"/>
      <c r="CS84" s="278"/>
    </row>
    <row r="85" spans="12:97" ht="17.399999999999999" customHeight="1" x14ac:dyDescent="0.4">
      <c r="L85" s="273" t="s">
        <v>437</v>
      </c>
      <c r="M85" s="274"/>
      <c r="N85" s="274"/>
      <c r="O85" s="274"/>
      <c r="P85" s="274"/>
      <c r="Q85" s="274"/>
      <c r="R85" s="274"/>
      <c r="S85" s="274"/>
      <c r="T85" s="274"/>
      <c r="U85" s="274"/>
      <c r="V85" s="274"/>
      <c r="W85" s="274"/>
      <c r="X85" s="274"/>
      <c r="Y85" s="274"/>
      <c r="Z85" s="274"/>
      <c r="AA85" s="274"/>
      <c r="AB85" s="274"/>
      <c r="AC85" s="274"/>
      <c r="AD85" s="274"/>
      <c r="AE85" s="274"/>
      <c r="AF85" s="274"/>
      <c r="AG85" s="274"/>
      <c r="AH85" s="274"/>
      <c r="AI85" s="274"/>
      <c r="AJ85" s="274"/>
      <c r="AK85" s="274"/>
      <c r="AL85" s="274"/>
      <c r="AM85" s="274"/>
      <c r="AN85" s="274"/>
      <c r="AO85" s="274"/>
      <c r="AP85" s="274"/>
      <c r="AQ85" s="275"/>
      <c r="BN85" s="276"/>
      <c r="BO85" s="277"/>
      <c r="BP85" s="277"/>
      <c r="BQ85" s="277"/>
      <c r="BR85" s="277"/>
      <c r="BS85" s="277"/>
      <c r="BT85" s="277"/>
      <c r="BU85" s="277"/>
      <c r="BV85" s="277"/>
      <c r="BW85" s="277"/>
      <c r="BX85" s="277"/>
      <c r="BY85" s="277"/>
      <c r="BZ85" s="277"/>
      <c r="CA85" s="277"/>
      <c r="CB85" s="277"/>
      <c r="CC85" s="277"/>
      <c r="CD85" s="277"/>
      <c r="CE85" s="277"/>
      <c r="CF85" s="277"/>
      <c r="CG85" s="277"/>
      <c r="CH85" s="277"/>
      <c r="CI85" s="277"/>
      <c r="CJ85" s="277"/>
      <c r="CK85" s="277"/>
      <c r="CL85" s="277"/>
      <c r="CM85" s="277"/>
      <c r="CN85" s="277"/>
      <c r="CO85" s="277"/>
      <c r="CP85" s="277"/>
      <c r="CQ85" s="277"/>
      <c r="CR85" s="277"/>
      <c r="CS85" s="278"/>
    </row>
    <row r="86" spans="12:97" ht="17.399999999999999" customHeight="1" x14ac:dyDescent="0.4">
      <c r="L86" s="276"/>
      <c r="M86" s="277"/>
      <c r="N86" s="277"/>
      <c r="O86" s="277"/>
      <c r="P86" s="277"/>
      <c r="Q86" s="277"/>
      <c r="R86" s="277"/>
      <c r="S86" s="277"/>
      <c r="T86" s="277"/>
      <c r="U86" s="277"/>
      <c r="V86" s="277"/>
      <c r="W86" s="277"/>
      <c r="X86" s="277"/>
      <c r="Y86" s="277"/>
      <c r="Z86" s="277"/>
      <c r="AA86" s="277"/>
      <c r="AB86" s="277"/>
      <c r="AC86" s="277"/>
      <c r="AD86" s="277"/>
      <c r="AE86" s="277"/>
      <c r="AF86" s="277"/>
      <c r="AG86" s="277"/>
      <c r="AH86" s="277"/>
      <c r="AI86" s="277"/>
      <c r="AJ86" s="277"/>
      <c r="AK86" s="277"/>
      <c r="AL86" s="277"/>
      <c r="AM86" s="277"/>
      <c r="AN86" s="277"/>
      <c r="AO86" s="277"/>
      <c r="AP86" s="277"/>
      <c r="AQ86" s="278"/>
      <c r="BN86" s="276"/>
      <c r="BO86" s="277"/>
      <c r="BP86" s="277"/>
      <c r="BQ86" s="277"/>
      <c r="BR86" s="277"/>
      <c r="BS86" s="277"/>
      <c r="BT86" s="277"/>
      <c r="BU86" s="277"/>
      <c r="BV86" s="277"/>
      <c r="BW86" s="277"/>
      <c r="BX86" s="277"/>
      <c r="BY86" s="277"/>
      <c r="BZ86" s="277"/>
      <c r="CA86" s="277"/>
      <c r="CB86" s="277"/>
      <c r="CC86" s="277"/>
      <c r="CD86" s="277"/>
      <c r="CE86" s="277"/>
      <c r="CF86" s="277"/>
      <c r="CG86" s="277"/>
      <c r="CH86" s="277"/>
      <c r="CI86" s="277"/>
      <c r="CJ86" s="277"/>
      <c r="CK86" s="277"/>
      <c r="CL86" s="277"/>
      <c r="CM86" s="277"/>
      <c r="CN86" s="277"/>
      <c r="CO86" s="277"/>
      <c r="CP86" s="277"/>
      <c r="CQ86" s="277"/>
      <c r="CR86" s="277"/>
      <c r="CS86" s="278"/>
    </row>
    <row r="87" spans="12:97" ht="17.399999999999999" customHeight="1" x14ac:dyDescent="0.4">
      <c r="L87" s="276"/>
      <c r="M87" s="277"/>
      <c r="N87" s="277"/>
      <c r="O87" s="277"/>
      <c r="P87" s="277"/>
      <c r="Q87" s="277"/>
      <c r="R87" s="277"/>
      <c r="S87" s="277"/>
      <c r="T87" s="277"/>
      <c r="U87" s="277"/>
      <c r="V87" s="277"/>
      <c r="W87" s="277"/>
      <c r="X87" s="277"/>
      <c r="Y87" s="277"/>
      <c r="Z87" s="277"/>
      <c r="AA87" s="277"/>
      <c r="AB87" s="277"/>
      <c r="AC87" s="277"/>
      <c r="AD87" s="277"/>
      <c r="AE87" s="277"/>
      <c r="AF87" s="277"/>
      <c r="AG87" s="277"/>
      <c r="AH87" s="277"/>
      <c r="AI87" s="277"/>
      <c r="AJ87" s="277"/>
      <c r="AK87" s="277"/>
      <c r="AL87" s="277"/>
      <c r="AM87" s="277"/>
      <c r="AN87" s="277"/>
      <c r="AO87" s="277"/>
      <c r="AP87" s="277"/>
      <c r="AQ87" s="278"/>
      <c r="BN87" s="276"/>
      <c r="BO87" s="277"/>
      <c r="BP87" s="277"/>
      <c r="BQ87" s="277"/>
      <c r="BR87" s="277"/>
      <c r="BS87" s="277"/>
      <c r="BT87" s="277"/>
      <c r="BU87" s="277"/>
      <c r="BV87" s="277"/>
      <c r="BW87" s="277"/>
      <c r="BX87" s="277"/>
      <c r="BY87" s="277"/>
      <c r="BZ87" s="277"/>
      <c r="CA87" s="277"/>
      <c r="CB87" s="277"/>
      <c r="CC87" s="277"/>
      <c r="CD87" s="277"/>
      <c r="CE87" s="277"/>
      <c r="CF87" s="277"/>
      <c r="CG87" s="277"/>
      <c r="CH87" s="277"/>
      <c r="CI87" s="277"/>
      <c r="CJ87" s="277"/>
      <c r="CK87" s="277"/>
      <c r="CL87" s="277"/>
      <c r="CM87" s="277"/>
      <c r="CN87" s="277"/>
      <c r="CO87" s="277"/>
      <c r="CP87" s="277"/>
      <c r="CQ87" s="277"/>
      <c r="CR87" s="277"/>
      <c r="CS87" s="278"/>
    </row>
    <row r="88" spans="12:97" ht="17.399999999999999" customHeight="1" x14ac:dyDescent="0.4">
      <c r="L88" s="276"/>
      <c r="M88" s="277"/>
      <c r="N88" s="277"/>
      <c r="O88" s="277"/>
      <c r="P88" s="277"/>
      <c r="Q88" s="277"/>
      <c r="R88" s="277"/>
      <c r="S88" s="277"/>
      <c r="T88" s="277"/>
      <c r="U88" s="277"/>
      <c r="V88" s="277"/>
      <c r="W88" s="277"/>
      <c r="X88" s="277"/>
      <c r="Y88" s="277"/>
      <c r="Z88" s="277"/>
      <c r="AA88" s="277"/>
      <c r="AB88" s="277"/>
      <c r="AC88" s="277"/>
      <c r="AD88" s="277"/>
      <c r="AE88" s="277"/>
      <c r="AF88" s="277"/>
      <c r="AG88" s="277"/>
      <c r="AH88" s="277"/>
      <c r="AI88" s="277"/>
      <c r="AJ88" s="277"/>
      <c r="AK88" s="277"/>
      <c r="AL88" s="277"/>
      <c r="AM88" s="277"/>
      <c r="AN88" s="277"/>
      <c r="AO88" s="277"/>
      <c r="AP88" s="277"/>
      <c r="AQ88" s="278"/>
      <c r="BN88" s="276"/>
      <c r="BO88" s="277"/>
      <c r="BP88" s="277"/>
      <c r="BQ88" s="277"/>
      <c r="BR88" s="277"/>
      <c r="BS88" s="277"/>
      <c r="BT88" s="277"/>
      <c r="BU88" s="277"/>
      <c r="BV88" s="277"/>
      <c r="BW88" s="277"/>
      <c r="BX88" s="277"/>
      <c r="BY88" s="277"/>
      <c r="BZ88" s="277"/>
      <c r="CA88" s="277"/>
      <c r="CB88" s="277"/>
      <c r="CC88" s="277"/>
      <c r="CD88" s="277"/>
      <c r="CE88" s="277"/>
      <c r="CF88" s="277"/>
      <c r="CG88" s="277"/>
      <c r="CH88" s="277"/>
      <c r="CI88" s="277"/>
      <c r="CJ88" s="277"/>
      <c r="CK88" s="277"/>
      <c r="CL88" s="277"/>
      <c r="CM88" s="277"/>
      <c r="CN88" s="277"/>
      <c r="CO88" s="277"/>
      <c r="CP88" s="277"/>
      <c r="CQ88" s="277"/>
      <c r="CR88" s="277"/>
      <c r="CS88" s="278"/>
    </row>
    <row r="89" spans="12:97" ht="17.399999999999999" customHeight="1" x14ac:dyDescent="0.4">
      <c r="L89" s="276"/>
      <c r="M89" s="277"/>
      <c r="N89" s="277"/>
      <c r="O89" s="277"/>
      <c r="P89" s="277"/>
      <c r="Q89" s="277"/>
      <c r="R89" s="277"/>
      <c r="S89" s="277"/>
      <c r="T89" s="277"/>
      <c r="U89" s="277"/>
      <c r="V89" s="277"/>
      <c r="W89" s="277"/>
      <c r="X89" s="277"/>
      <c r="Y89" s="277"/>
      <c r="Z89" s="277"/>
      <c r="AA89" s="277"/>
      <c r="AB89" s="277"/>
      <c r="AC89" s="277"/>
      <c r="AD89" s="277"/>
      <c r="AE89" s="277"/>
      <c r="AF89" s="277"/>
      <c r="AG89" s="277"/>
      <c r="AH89" s="277"/>
      <c r="AI89" s="277"/>
      <c r="AJ89" s="277"/>
      <c r="AK89" s="277"/>
      <c r="AL89" s="277"/>
      <c r="AM89" s="277"/>
      <c r="AN89" s="277"/>
      <c r="AO89" s="277"/>
      <c r="AP89" s="277"/>
      <c r="AQ89" s="278"/>
      <c r="BN89" s="276"/>
      <c r="BO89" s="277"/>
      <c r="BP89" s="277"/>
      <c r="BQ89" s="277"/>
      <c r="BR89" s="277"/>
      <c r="BS89" s="277"/>
      <c r="BT89" s="277"/>
      <c r="BU89" s="277"/>
      <c r="BV89" s="277"/>
      <c r="BW89" s="277"/>
      <c r="BX89" s="277"/>
      <c r="BY89" s="277"/>
      <c r="BZ89" s="277"/>
      <c r="CA89" s="277"/>
      <c r="CB89" s="277"/>
      <c r="CC89" s="277"/>
      <c r="CD89" s="277"/>
      <c r="CE89" s="277"/>
      <c r="CF89" s="277"/>
      <c r="CG89" s="277"/>
      <c r="CH89" s="277"/>
      <c r="CI89" s="277"/>
      <c r="CJ89" s="277"/>
      <c r="CK89" s="277"/>
      <c r="CL89" s="277"/>
      <c r="CM89" s="277"/>
      <c r="CN89" s="277"/>
      <c r="CO89" s="277"/>
      <c r="CP89" s="277"/>
      <c r="CQ89" s="277"/>
      <c r="CR89" s="277"/>
      <c r="CS89" s="278"/>
    </row>
    <row r="90" spans="12:97" ht="17.399999999999999" customHeight="1" x14ac:dyDescent="0.4">
      <c r="L90" s="276"/>
      <c r="M90" s="277"/>
      <c r="N90" s="277"/>
      <c r="O90" s="277"/>
      <c r="P90" s="277"/>
      <c r="Q90" s="277"/>
      <c r="R90" s="277"/>
      <c r="S90" s="277"/>
      <c r="T90" s="277"/>
      <c r="U90" s="277"/>
      <c r="V90" s="277"/>
      <c r="W90" s="277"/>
      <c r="X90" s="277"/>
      <c r="Y90" s="277"/>
      <c r="Z90" s="277"/>
      <c r="AA90" s="277"/>
      <c r="AB90" s="277"/>
      <c r="AC90" s="277"/>
      <c r="AD90" s="277"/>
      <c r="AE90" s="277"/>
      <c r="AF90" s="277"/>
      <c r="AG90" s="277"/>
      <c r="AH90" s="277"/>
      <c r="AI90" s="277"/>
      <c r="AJ90" s="277"/>
      <c r="AK90" s="277"/>
      <c r="AL90" s="277"/>
      <c r="AM90" s="277"/>
      <c r="AN90" s="277"/>
      <c r="AO90" s="277"/>
      <c r="AP90" s="277"/>
      <c r="AQ90" s="278"/>
      <c r="BN90" s="276"/>
      <c r="BO90" s="277"/>
      <c r="BP90" s="277"/>
      <c r="BQ90" s="277"/>
      <c r="BR90" s="277"/>
      <c r="BS90" s="277"/>
      <c r="BT90" s="277"/>
      <c r="BU90" s="277"/>
      <c r="BV90" s="277"/>
      <c r="BW90" s="277"/>
      <c r="BX90" s="277"/>
      <c r="BY90" s="277"/>
      <c r="BZ90" s="277"/>
      <c r="CA90" s="277"/>
      <c r="CB90" s="277"/>
      <c r="CC90" s="277"/>
      <c r="CD90" s="277"/>
      <c r="CE90" s="277"/>
      <c r="CF90" s="277"/>
      <c r="CG90" s="277"/>
      <c r="CH90" s="277"/>
      <c r="CI90" s="277"/>
      <c r="CJ90" s="277"/>
      <c r="CK90" s="277"/>
      <c r="CL90" s="277"/>
      <c r="CM90" s="277"/>
      <c r="CN90" s="277"/>
      <c r="CO90" s="277"/>
      <c r="CP90" s="277"/>
      <c r="CQ90" s="277"/>
      <c r="CR90" s="277"/>
      <c r="CS90" s="278"/>
    </row>
    <row r="91" spans="12:97" ht="17.399999999999999" customHeight="1" x14ac:dyDescent="0.4">
      <c r="L91" s="276"/>
      <c r="M91" s="277"/>
      <c r="N91" s="277"/>
      <c r="O91" s="277"/>
      <c r="P91" s="277"/>
      <c r="Q91" s="277"/>
      <c r="R91" s="277"/>
      <c r="S91" s="277"/>
      <c r="T91" s="277"/>
      <c r="U91" s="277"/>
      <c r="V91" s="277"/>
      <c r="W91" s="277"/>
      <c r="X91" s="277"/>
      <c r="Y91" s="277"/>
      <c r="Z91" s="277"/>
      <c r="AA91" s="277"/>
      <c r="AB91" s="277"/>
      <c r="AC91" s="277"/>
      <c r="AD91" s="277"/>
      <c r="AE91" s="277"/>
      <c r="AF91" s="277"/>
      <c r="AG91" s="277"/>
      <c r="AH91" s="277"/>
      <c r="AI91" s="277"/>
      <c r="AJ91" s="277"/>
      <c r="AK91" s="277"/>
      <c r="AL91" s="277"/>
      <c r="AM91" s="277"/>
      <c r="AN91" s="277"/>
      <c r="AO91" s="277"/>
      <c r="AP91" s="277"/>
      <c r="AQ91" s="278"/>
      <c r="BN91" s="276"/>
      <c r="BO91" s="277"/>
      <c r="BP91" s="277"/>
      <c r="BQ91" s="277"/>
      <c r="BR91" s="277"/>
      <c r="BS91" s="277"/>
      <c r="BT91" s="277"/>
      <c r="BU91" s="277"/>
      <c r="BV91" s="277"/>
      <c r="BW91" s="277"/>
      <c r="BX91" s="277"/>
      <c r="BY91" s="277"/>
      <c r="BZ91" s="277"/>
      <c r="CA91" s="277"/>
      <c r="CB91" s="277"/>
      <c r="CC91" s="277"/>
      <c r="CD91" s="277"/>
      <c r="CE91" s="277"/>
      <c r="CF91" s="277"/>
      <c r="CG91" s="277"/>
      <c r="CH91" s="277"/>
      <c r="CI91" s="277"/>
      <c r="CJ91" s="277"/>
      <c r="CK91" s="277"/>
      <c r="CL91" s="277"/>
      <c r="CM91" s="277"/>
      <c r="CN91" s="277"/>
      <c r="CO91" s="277"/>
      <c r="CP91" s="277"/>
      <c r="CQ91" s="277"/>
      <c r="CR91" s="277"/>
      <c r="CS91" s="278"/>
    </row>
    <row r="92" spans="12:97" ht="17.399999999999999" customHeight="1" x14ac:dyDescent="0.4">
      <c r="L92" s="276"/>
      <c r="M92" s="277"/>
      <c r="N92" s="277"/>
      <c r="O92" s="277"/>
      <c r="P92" s="277"/>
      <c r="Q92" s="277"/>
      <c r="R92" s="277"/>
      <c r="S92" s="277"/>
      <c r="T92" s="277"/>
      <c r="U92" s="277"/>
      <c r="V92" s="277"/>
      <c r="W92" s="277"/>
      <c r="X92" s="277"/>
      <c r="Y92" s="277"/>
      <c r="Z92" s="277"/>
      <c r="AA92" s="277"/>
      <c r="AB92" s="277"/>
      <c r="AC92" s="277"/>
      <c r="AD92" s="277"/>
      <c r="AE92" s="277"/>
      <c r="AF92" s="277"/>
      <c r="AG92" s="277"/>
      <c r="AH92" s="277"/>
      <c r="AI92" s="277"/>
      <c r="AJ92" s="277"/>
      <c r="AK92" s="277"/>
      <c r="AL92" s="277"/>
      <c r="AM92" s="277"/>
      <c r="AN92" s="277"/>
      <c r="AO92" s="277"/>
      <c r="AP92" s="277"/>
      <c r="AQ92" s="278"/>
      <c r="BN92" s="276"/>
      <c r="BO92" s="277"/>
      <c r="BP92" s="277"/>
      <c r="BQ92" s="277"/>
      <c r="BR92" s="277"/>
      <c r="BS92" s="277"/>
      <c r="BT92" s="277"/>
      <c r="BU92" s="277"/>
      <c r="BV92" s="277"/>
      <c r="BW92" s="277"/>
      <c r="BX92" s="277"/>
      <c r="BY92" s="277"/>
      <c r="BZ92" s="277"/>
      <c r="CA92" s="277"/>
      <c r="CB92" s="277"/>
      <c r="CC92" s="277"/>
      <c r="CD92" s="277"/>
      <c r="CE92" s="277"/>
      <c r="CF92" s="277"/>
      <c r="CG92" s="277"/>
      <c r="CH92" s="277"/>
      <c r="CI92" s="277"/>
      <c r="CJ92" s="277"/>
      <c r="CK92" s="277"/>
      <c r="CL92" s="277"/>
      <c r="CM92" s="277"/>
      <c r="CN92" s="277"/>
      <c r="CO92" s="277"/>
      <c r="CP92" s="277"/>
      <c r="CQ92" s="277"/>
      <c r="CR92" s="277"/>
      <c r="CS92" s="278"/>
    </row>
    <row r="93" spans="12:97" ht="17.399999999999999" customHeight="1" x14ac:dyDescent="0.4">
      <c r="L93" s="276"/>
      <c r="M93" s="277"/>
      <c r="N93" s="277"/>
      <c r="O93" s="277"/>
      <c r="P93" s="277"/>
      <c r="Q93" s="277"/>
      <c r="R93" s="277"/>
      <c r="S93" s="277"/>
      <c r="T93" s="277"/>
      <c r="U93" s="277"/>
      <c r="V93" s="277"/>
      <c r="W93" s="277"/>
      <c r="X93" s="277"/>
      <c r="Y93" s="277"/>
      <c r="Z93" s="277"/>
      <c r="AA93" s="277"/>
      <c r="AB93" s="277"/>
      <c r="AC93" s="277"/>
      <c r="AD93" s="277"/>
      <c r="AE93" s="277"/>
      <c r="AF93" s="277"/>
      <c r="AG93" s="277"/>
      <c r="AH93" s="277"/>
      <c r="AI93" s="277"/>
      <c r="AJ93" s="277"/>
      <c r="AK93" s="277"/>
      <c r="AL93" s="277"/>
      <c r="AM93" s="277"/>
      <c r="AN93" s="277"/>
      <c r="AO93" s="277"/>
      <c r="AP93" s="277"/>
      <c r="AQ93" s="278"/>
      <c r="BN93" s="276"/>
      <c r="BO93" s="277"/>
      <c r="BP93" s="277"/>
      <c r="BQ93" s="277"/>
      <c r="BR93" s="277"/>
      <c r="BS93" s="277"/>
      <c r="BT93" s="277"/>
      <c r="BU93" s="277"/>
      <c r="BV93" s="277"/>
      <c r="BW93" s="277"/>
      <c r="BX93" s="277"/>
      <c r="BY93" s="277"/>
      <c r="BZ93" s="277"/>
      <c r="CA93" s="277"/>
      <c r="CB93" s="277"/>
      <c r="CC93" s="277"/>
      <c r="CD93" s="277"/>
      <c r="CE93" s="277"/>
      <c r="CF93" s="277"/>
      <c r="CG93" s="277"/>
      <c r="CH93" s="277"/>
      <c r="CI93" s="277"/>
      <c r="CJ93" s="277"/>
      <c r="CK93" s="277"/>
      <c r="CL93" s="277"/>
      <c r="CM93" s="277"/>
      <c r="CN93" s="277"/>
      <c r="CO93" s="277"/>
      <c r="CP93" s="277"/>
      <c r="CQ93" s="277"/>
      <c r="CR93" s="277"/>
      <c r="CS93" s="278"/>
    </row>
    <row r="94" spans="12:97" ht="17.399999999999999" customHeight="1" x14ac:dyDescent="0.4">
      <c r="L94" s="276"/>
      <c r="M94" s="277"/>
      <c r="N94" s="277"/>
      <c r="O94" s="277"/>
      <c r="P94" s="277"/>
      <c r="Q94" s="277"/>
      <c r="R94" s="277"/>
      <c r="S94" s="277"/>
      <c r="T94" s="277"/>
      <c r="U94" s="277"/>
      <c r="V94" s="277"/>
      <c r="W94" s="277"/>
      <c r="X94" s="277"/>
      <c r="Y94" s="277"/>
      <c r="Z94" s="277"/>
      <c r="AA94" s="277"/>
      <c r="AB94" s="277"/>
      <c r="AC94" s="277"/>
      <c r="AD94" s="277"/>
      <c r="AE94" s="277"/>
      <c r="AF94" s="277"/>
      <c r="AG94" s="277"/>
      <c r="AH94" s="277"/>
      <c r="AI94" s="277"/>
      <c r="AJ94" s="277"/>
      <c r="AK94" s="277"/>
      <c r="AL94" s="277"/>
      <c r="AM94" s="277"/>
      <c r="AN94" s="277"/>
      <c r="AO94" s="277"/>
      <c r="AP94" s="277"/>
      <c r="AQ94" s="278"/>
      <c r="BN94" s="276"/>
      <c r="BO94" s="277"/>
      <c r="BP94" s="277"/>
      <c r="BQ94" s="277"/>
      <c r="BR94" s="277"/>
      <c r="BS94" s="277"/>
      <c r="BT94" s="277"/>
      <c r="BU94" s="277"/>
      <c r="BV94" s="277"/>
      <c r="BW94" s="277"/>
      <c r="BX94" s="277"/>
      <c r="BY94" s="277"/>
      <c r="BZ94" s="277"/>
      <c r="CA94" s="277"/>
      <c r="CB94" s="277"/>
      <c r="CC94" s="277"/>
      <c r="CD94" s="277"/>
      <c r="CE94" s="277"/>
      <c r="CF94" s="277"/>
      <c r="CG94" s="277"/>
      <c r="CH94" s="277"/>
      <c r="CI94" s="277"/>
      <c r="CJ94" s="277"/>
      <c r="CK94" s="277"/>
      <c r="CL94" s="277"/>
      <c r="CM94" s="277"/>
      <c r="CN94" s="277"/>
      <c r="CO94" s="277"/>
      <c r="CP94" s="277"/>
      <c r="CQ94" s="277"/>
      <c r="CR94" s="277"/>
      <c r="CS94" s="278"/>
    </row>
    <row r="95" spans="12:97" ht="17.399999999999999" customHeight="1" x14ac:dyDescent="0.4">
      <c r="L95" s="276"/>
      <c r="M95" s="277"/>
      <c r="N95" s="277"/>
      <c r="O95" s="277"/>
      <c r="P95" s="277"/>
      <c r="Q95" s="277"/>
      <c r="R95" s="277"/>
      <c r="S95" s="277"/>
      <c r="T95" s="277"/>
      <c r="U95" s="277"/>
      <c r="V95" s="277"/>
      <c r="W95" s="277"/>
      <c r="X95" s="277"/>
      <c r="Y95" s="277"/>
      <c r="Z95" s="277"/>
      <c r="AA95" s="277"/>
      <c r="AB95" s="277"/>
      <c r="AC95" s="277"/>
      <c r="AD95" s="277"/>
      <c r="AE95" s="277"/>
      <c r="AF95" s="277"/>
      <c r="AG95" s="277"/>
      <c r="AH95" s="277"/>
      <c r="AI95" s="277"/>
      <c r="AJ95" s="277"/>
      <c r="AK95" s="277"/>
      <c r="AL95" s="277"/>
      <c r="AM95" s="277"/>
      <c r="AN95" s="277"/>
      <c r="AO95" s="277"/>
      <c r="AP95" s="277"/>
      <c r="AQ95" s="278"/>
      <c r="BN95" s="276"/>
      <c r="BO95" s="277"/>
      <c r="BP95" s="277"/>
      <c r="BQ95" s="277"/>
      <c r="BR95" s="277"/>
      <c r="BS95" s="277"/>
      <c r="BT95" s="277"/>
      <c r="BU95" s="277"/>
      <c r="BV95" s="277"/>
      <c r="BW95" s="277"/>
      <c r="BX95" s="277"/>
      <c r="BY95" s="277"/>
      <c r="BZ95" s="277"/>
      <c r="CA95" s="277"/>
      <c r="CB95" s="277"/>
      <c r="CC95" s="277"/>
      <c r="CD95" s="277"/>
      <c r="CE95" s="277"/>
      <c r="CF95" s="277"/>
      <c r="CG95" s="277"/>
      <c r="CH95" s="277"/>
      <c r="CI95" s="277"/>
      <c r="CJ95" s="277"/>
      <c r="CK95" s="277"/>
      <c r="CL95" s="277"/>
      <c r="CM95" s="277"/>
      <c r="CN95" s="277"/>
      <c r="CO95" s="277"/>
      <c r="CP95" s="277"/>
      <c r="CQ95" s="277"/>
      <c r="CR95" s="277"/>
      <c r="CS95" s="278"/>
    </row>
    <row r="96" spans="12:97" ht="17.399999999999999" customHeight="1" x14ac:dyDescent="0.4">
      <c r="L96" s="276"/>
      <c r="M96" s="277"/>
      <c r="N96" s="277"/>
      <c r="O96" s="277"/>
      <c r="P96" s="277"/>
      <c r="Q96" s="277"/>
      <c r="R96" s="277"/>
      <c r="S96" s="277"/>
      <c r="T96" s="277"/>
      <c r="U96" s="277"/>
      <c r="V96" s="277"/>
      <c r="W96" s="277"/>
      <c r="X96" s="277"/>
      <c r="Y96" s="277"/>
      <c r="Z96" s="277"/>
      <c r="AA96" s="277"/>
      <c r="AB96" s="277"/>
      <c r="AC96" s="277"/>
      <c r="AD96" s="277"/>
      <c r="AE96" s="277"/>
      <c r="AF96" s="277"/>
      <c r="AG96" s="277"/>
      <c r="AH96" s="277"/>
      <c r="AI96" s="277"/>
      <c r="AJ96" s="277"/>
      <c r="AK96" s="277"/>
      <c r="AL96" s="277"/>
      <c r="AM96" s="277"/>
      <c r="AN96" s="277"/>
      <c r="AO96" s="277"/>
      <c r="AP96" s="277"/>
      <c r="AQ96" s="278"/>
      <c r="BN96" s="276"/>
      <c r="BO96" s="277"/>
      <c r="BP96" s="277"/>
      <c r="BQ96" s="277"/>
      <c r="BR96" s="277"/>
      <c r="BS96" s="277"/>
      <c r="BT96" s="277"/>
      <c r="BU96" s="277"/>
      <c r="BV96" s="277"/>
      <c r="BW96" s="277"/>
      <c r="BX96" s="277"/>
      <c r="BY96" s="277"/>
      <c r="BZ96" s="277"/>
      <c r="CA96" s="277"/>
      <c r="CB96" s="277"/>
      <c r="CC96" s="277"/>
      <c r="CD96" s="277"/>
      <c r="CE96" s="277"/>
      <c r="CF96" s="277"/>
      <c r="CG96" s="277"/>
      <c r="CH96" s="277"/>
      <c r="CI96" s="277"/>
      <c r="CJ96" s="277"/>
      <c r="CK96" s="277"/>
      <c r="CL96" s="277"/>
      <c r="CM96" s="277"/>
      <c r="CN96" s="277"/>
      <c r="CO96" s="277"/>
      <c r="CP96" s="277"/>
      <c r="CQ96" s="277"/>
      <c r="CR96" s="277"/>
      <c r="CS96" s="278"/>
    </row>
    <row r="97" spans="12:97" ht="17.399999999999999" customHeight="1" x14ac:dyDescent="0.4">
      <c r="L97" s="276"/>
      <c r="M97" s="277"/>
      <c r="N97" s="277"/>
      <c r="O97" s="277"/>
      <c r="P97" s="277"/>
      <c r="Q97" s="277"/>
      <c r="R97" s="277"/>
      <c r="S97" s="277"/>
      <c r="T97" s="277"/>
      <c r="U97" s="277"/>
      <c r="V97" s="277"/>
      <c r="W97" s="277"/>
      <c r="X97" s="277"/>
      <c r="Y97" s="277"/>
      <c r="Z97" s="277"/>
      <c r="AA97" s="277"/>
      <c r="AB97" s="277"/>
      <c r="AC97" s="277"/>
      <c r="AD97" s="277"/>
      <c r="AE97" s="277"/>
      <c r="AF97" s="277"/>
      <c r="AG97" s="277"/>
      <c r="AH97" s="277"/>
      <c r="AI97" s="277"/>
      <c r="AJ97" s="277"/>
      <c r="AK97" s="277"/>
      <c r="AL97" s="277"/>
      <c r="AM97" s="277"/>
      <c r="AN97" s="277"/>
      <c r="AO97" s="277"/>
      <c r="AP97" s="277"/>
      <c r="AQ97" s="278"/>
      <c r="BN97" s="276"/>
      <c r="BO97" s="277"/>
      <c r="BP97" s="277"/>
      <c r="BQ97" s="277"/>
      <c r="BR97" s="277"/>
      <c r="BS97" s="277"/>
      <c r="BT97" s="277"/>
      <c r="BU97" s="277"/>
      <c r="BV97" s="277"/>
      <c r="BW97" s="277"/>
      <c r="BX97" s="277"/>
      <c r="BY97" s="277"/>
      <c r="BZ97" s="277"/>
      <c r="CA97" s="277"/>
      <c r="CB97" s="277"/>
      <c r="CC97" s="277"/>
      <c r="CD97" s="277"/>
      <c r="CE97" s="277"/>
      <c r="CF97" s="277"/>
      <c r="CG97" s="277"/>
      <c r="CH97" s="277"/>
      <c r="CI97" s="277"/>
      <c r="CJ97" s="277"/>
      <c r="CK97" s="277"/>
      <c r="CL97" s="277"/>
      <c r="CM97" s="277"/>
      <c r="CN97" s="277"/>
      <c r="CO97" s="277"/>
      <c r="CP97" s="277"/>
      <c r="CQ97" s="277"/>
      <c r="CR97" s="277"/>
      <c r="CS97" s="278"/>
    </row>
    <row r="98" spans="12:97" ht="17.399999999999999" customHeight="1" x14ac:dyDescent="0.4">
      <c r="L98" s="276"/>
      <c r="M98" s="277"/>
      <c r="N98" s="277"/>
      <c r="O98" s="277"/>
      <c r="P98" s="277"/>
      <c r="Q98" s="277"/>
      <c r="R98" s="277"/>
      <c r="S98" s="277"/>
      <c r="T98" s="277"/>
      <c r="U98" s="277"/>
      <c r="V98" s="277"/>
      <c r="W98" s="277"/>
      <c r="X98" s="277"/>
      <c r="Y98" s="277"/>
      <c r="Z98" s="277"/>
      <c r="AA98" s="277"/>
      <c r="AB98" s="277"/>
      <c r="AC98" s="277"/>
      <c r="AD98" s="277"/>
      <c r="AE98" s="277"/>
      <c r="AF98" s="277"/>
      <c r="AG98" s="277"/>
      <c r="AH98" s="277"/>
      <c r="AI98" s="277"/>
      <c r="AJ98" s="277"/>
      <c r="AK98" s="277"/>
      <c r="AL98" s="277"/>
      <c r="AM98" s="277"/>
      <c r="AN98" s="277"/>
      <c r="AO98" s="277"/>
      <c r="AP98" s="277"/>
      <c r="AQ98" s="278"/>
      <c r="BN98" s="276"/>
      <c r="BO98" s="277"/>
      <c r="BP98" s="277"/>
      <c r="BQ98" s="277"/>
      <c r="BR98" s="277"/>
      <c r="BS98" s="277"/>
      <c r="BT98" s="277"/>
      <c r="BU98" s="277"/>
      <c r="BV98" s="277"/>
      <c r="BW98" s="277"/>
      <c r="BX98" s="277"/>
      <c r="BY98" s="277"/>
      <c r="BZ98" s="277"/>
      <c r="CA98" s="277"/>
      <c r="CB98" s="277"/>
      <c r="CC98" s="277"/>
      <c r="CD98" s="277"/>
      <c r="CE98" s="277"/>
      <c r="CF98" s="277"/>
      <c r="CG98" s="277"/>
      <c r="CH98" s="277"/>
      <c r="CI98" s="277"/>
      <c r="CJ98" s="277"/>
      <c r="CK98" s="277"/>
      <c r="CL98" s="277"/>
      <c r="CM98" s="277"/>
      <c r="CN98" s="277"/>
      <c r="CO98" s="277"/>
      <c r="CP98" s="277"/>
      <c r="CQ98" s="277"/>
      <c r="CR98" s="277"/>
      <c r="CS98" s="278"/>
    </row>
    <row r="99" spans="12:97" ht="17.399999999999999" customHeight="1" x14ac:dyDescent="0.4">
      <c r="L99" s="276"/>
      <c r="M99" s="277"/>
      <c r="N99" s="277"/>
      <c r="O99" s="277"/>
      <c r="P99" s="277"/>
      <c r="Q99" s="277"/>
      <c r="R99" s="277"/>
      <c r="S99" s="277"/>
      <c r="T99" s="277"/>
      <c r="U99" s="277"/>
      <c r="V99" s="277"/>
      <c r="W99" s="277"/>
      <c r="X99" s="277"/>
      <c r="Y99" s="277"/>
      <c r="Z99" s="277"/>
      <c r="AA99" s="277"/>
      <c r="AB99" s="277"/>
      <c r="AC99" s="277"/>
      <c r="AD99" s="277"/>
      <c r="AE99" s="277"/>
      <c r="AF99" s="277"/>
      <c r="AG99" s="277"/>
      <c r="AH99" s="277"/>
      <c r="AI99" s="277"/>
      <c r="AJ99" s="277"/>
      <c r="AK99" s="277"/>
      <c r="AL99" s="277"/>
      <c r="AM99" s="277"/>
      <c r="AN99" s="277"/>
      <c r="AO99" s="277"/>
      <c r="AP99" s="277"/>
      <c r="AQ99" s="278"/>
      <c r="BN99" s="276"/>
      <c r="BO99" s="277"/>
      <c r="BP99" s="277"/>
      <c r="BQ99" s="277"/>
      <c r="BR99" s="277"/>
      <c r="BS99" s="277"/>
      <c r="BT99" s="277"/>
      <c r="BU99" s="277"/>
      <c r="BV99" s="277"/>
      <c r="BW99" s="277"/>
      <c r="BX99" s="277"/>
      <c r="BY99" s="277"/>
      <c r="BZ99" s="277"/>
      <c r="CA99" s="277"/>
      <c r="CB99" s="277"/>
      <c r="CC99" s="277"/>
      <c r="CD99" s="277"/>
      <c r="CE99" s="277"/>
      <c r="CF99" s="277"/>
      <c r="CG99" s="277"/>
      <c r="CH99" s="277"/>
      <c r="CI99" s="277"/>
      <c r="CJ99" s="277"/>
      <c r="CK99" s="277"/>
      <c r="CL99" s="277"/>
      <c r="CM99" s="277"/>
      <c r="CN99" s="277"/>
      <c r="CO99" s="277"/>
      <c r="CP99" s="277"/>
      <c r="CQ99" s="277"/>
      <c r="CR99" s="277"/>
      <c r="CS99" s="278"/>
    </row>
    <row r="100" spans="12:97" ht="17.399999999999999" customHeight="1" x14ac:dyDescent="0.4">
      <c r="L100" s="276"/>
      <c r="M100" s="277"/>
      <c r="N100" s="277"/>
      <c r="O100" s="277"/>
      <c r="P100" s="277"/>
      <c r="Q100" s="277"/>
      <c r="R100" s="277"/>
      <c r="S100" s="277"/>
      <c r="T100" s="277"/>
      <c r="U100" s="277"/>
      <c r="V100" s="277"/>
      <c r="W100" s="277"/>
      <c r="X100" s="277"/>
      <c r="Y100" s="277"/>
      <c r="Z100" s="277"/>
      <c r="AA100" s="277"/>
      <c r="AB100" s="277"/>
      <c r="AC100" s="277"/>
      <c r="AD100" s="277"/>
      <c r="AE100" s="277"/>
      <c r="AF100" s="277"/>
      <c r="AG100" s="277"/>
      <c r="AH100" s="277"/>
      <c r="AI100" s="277"/>
      <c r="AJ100" s="277"/>
      <c r="AK100" s="277"/>
      <c r="AL100" s="277"/>
      <c r="AM100" s="277"/>
      <c r="AN100" s="277"/>
      <c r="AO100" s="277"/>
      <c r="AP100" s="277"/>
      <c r="AQ100" s="278"/>
      <c r="BN100" s="276"/>
      <c r="BO100" s="277"/>
      <c r="BP100" s="277"/>
      <c r="BQ100" s="277"/>
      <c r="BR100" s="277"/>
      <c r="BS100" s="277"/>
      <c r="BT100" s="277"/>
      <c r="BU100" s="277"/>
      <c r="BV100" s="277"/>
      <c r="BW100" s="277"/>
      <c r="BX100" s="277"/>
      <c r="BY100" s="277"/>
      <c r="BZ100" s="277"/>
      <c r="CA100" s="277"/>
      <c r="CB100" s="277"/>
      <c r="CC100" s="277"/>
      <c r="CD100" s="277"/>
      <c r="CE100" s="277"/>
      <c r="CF100" s="277"/>
      <c r="CG100" s="277"/>
      <c r="CH100" s="277"/>
      <c r="CI100" s="277"/>
      <c r="CJ100" s="277"/>
      <c r="CK100" s="277"/>
      <c r="CL100" s="277"/>
      <c r="CM100" s="277"/>
      <c r="CN100" s="277"/>
      <c r="CO100" s="277"/>
      <c r="CP100" s="277"/>
      <c r="CQ100" s="277"/>
      <c r="CR100" s="277"/>
      <c r="CS100" s="278"/>
    </row>
    <row r="101" spans="12:97" ht="17.399999999999999" customHeight="1" x14ac:dyDescent="0.4">
      <c r="L101" s="276"/>
      <c r="M101" s="277"/>
      <c r="N101" s="277"/>
      <c r="O101" s="277"/>
      <c r="P101" s="277"/>
      <c r="Q101" s="277"/>
      <c r="R101" s="277"/>
      <c r="S101" s="277"/>
      <c r="T101" s="277"/>
      <c r="U101" s="277"/>
      <c r="V101" s="277"/>
      <c r="W101" s="277"/>
      <c r="X101" s="277"/>
      <c r="Y101" s="277"/>
      <c r="Z101" s="277"/>
      <c r="AA101" s="277"/>
      <c r="AB101" s="277"/>
      <c r="AC101" s="277"/>
      <c r="AD101" s="277"/>
      <c r="AE101" s="277"/>
      <c r="AF101" s="277"/>
      <c r="AG101" s="277"/>
      <c r="AH101" s="277"/>
      <c r="AI101" s="277"/>
      <c r="AJ101" s="277"/>
      <c r="AK101" s="277"/>
      <c r="AL101" s="277"/>
      <c r="AM101" s="277"/>
      <c r="AN101" s="277"/>
      <c r="AO101" s="277"/>
      <c r="AP101" s="277"/>
      <c r="AQ101" s="278"/>
      <c r="BN101" s="276"/>
      <c r="BO101" s="277"/>
      <c r="BP101" s="277"/>
      <c r="BQ101" s="277"/>
      <c r="BR101" s="277"/>
      <c r="BS101" s="277"/>
      <c r="BT101" s="277"/>
      <c r="BU101" s="277"/>
      <c r="BV101" s="277"/>
      <c r="BW101" s="277"/>
      <c r="BX101" s="277"/>
      <c r="BY101" s="277"/>
      <c r="BZ101" s="277"/>
      <c r="CA101" s="277"/>
      <c r="CB101" s="277"/>
      <c r="CC101" s="277"/>
      <c r="CD101" s="277"/>
      <c r="CE101" s="277"/>
      <c r="CF101" s="277"/>
      <c r="CG101" s="277"/>
      <c r="CH101" s="277"/>
      <c r="CI101" s="277"/>
      <c r="CJ101" s="277"/>
      <c r="CK101" s="277"/>
      <c r="CL101" s="277"/>
      <c r="CM101" s="277"/>
      <c r="CN101" s="277"/>
      <c r="CO101" s="277"/>
      <c r="CP101" s="277"/>
      <c r="CQ101" s="277"/>
      <c r="CR101" s="277"/>
      <c r="CS101" s="278"/>
    </row>
    <row r="102" spans="12:97" ht="17.399999999999999" customHeight="1" x14ac:dyDescent="0.4">
      <c r="L102" s="276"/>
      <c r="M102" s="277"/>
      <c r="N102" s="277"/>
      <c r="O102" s="277"/>
      <c r="P102" s="277"/>
      <c r="Q102" s="277"/>
      <c r="R102" s="277"/>
      <c r="S102" s="277"/>
      <c r="T102" s="277"/>
      <c r="U102" s="277"/>
      <c r="V102" s="277"/>
      <c r="W102" s="277"/>
      <c r="X102" s="277"/>
      <c r="Y102" s="277"/>
      <c r="Z102" s="277"/>
      <c r="AA102" s="277"/>
      <c r="AB102" s="277"/>
      <c r="AC102" s="277"/>
      <c r="AD102" s="277"/>
      <c r="AE102" s="277"/>
      <c r="AF102" s="277"/>
      <c r="AG102" s="277"/>
      <c r="AH102" s="277"/>
      <c r="AI102" s="277"/>
      <c r="AJ102" s="277"/>
      <c r="AK102" s="277"/>
      <c r="AL102" s="277"/>
      <c r="AM102" s="277"/>
      <c r="AN102" s="277"/>
      <c r="AO102" s="277"/>
      <c r="AP102" s="277"/>
      <c r="AQ102" s="278"/>
      <c r="BN102" s="276"/>
      <c r="BO102" s="277"/>
      <c r="BP102" s="277"/>
      <c r="BQ102" s="277"/>
      <c r="BR102" s="277"/>
      <c r="BS102" s="277"/>
      <c r="BT102" s="277"/>
      <c r="BU102" s="277"/>
      <c r="BV102" s="277"/>
      <c r="BW102" s="277"/>
      <c r="BX102" s="277"/>
      <c r="BY102" s="277"/>
      <c r="BZ102" s="277"/>
      <c r="CA102" s="277"/>
      <c r="CB102" s="277"/>
      <c r="CC102" s="277"/>
      <c r="CD102" s="277"/>
      <c r="CE102" s="277"/>
      <c r="CF102" s="277"/>
      <c r="CG102" s="277"/>
      <c r="CH102" s="277"/>
      <c r="CI102" s="277"/>
      <c r="CJ102" s="277"/>
      <c r="CK102" s="277"/>
      <c r="CL102" s="277"/>
      <c r="CM102" s="277"/>
      <c r="CN102" s="277"/>
      <c r="CO102" s="277"/>
      <c r="CP102" s="277"/>
      <c r="CQ102" s="277"/>
      <c r="CR102" s="277"/>
      <c r="CS102" s="278"/>
    </row>
    <row r="103" spans="12:97" ht="17.399999999999999" customHeight="1" x14ac:dyDescent="0.4">
      <c r="L103" s="276"/>
      <c r="M103" s="277"/>
      <c r="N103" s="277"/>
      <c r="O103" s="277"/>
      <c r="P103" s="277"/>
      <c r="Q103" s="277"/>
      <c r="R103" s="277"/>
      <c r="S103" s="277"/>
      <c r="T103" s="277"/>
      <c r="U103" s="277"/>
      <c r="V103" s="277"/>
      <c r="W103" s="277"/>
      <c r="X103" s="277"/>
      <c r="Y103" s="277"/>
      <c r="Z103" s="277"/>
      <c r="AA103" s="277"/>
      <c r="AB103" s="277"/>
      <c r="AC103" s="277"/>
      <c r="AD103" s="277"/>
      <c r="AE103" s="277"/>
      <c r="AF103" s="277"/>
      <c r="AG103" s="277"/>
      <c r="AH103" s="277"/>
      <c r="AI103" s="277"/>
      <c r="AJ103" s="277"/>
      <c r="AK103" s="277"/>
      <c r="AL103" s="277"/>
      <c r="AM103" s="277"/>
      <c r="AN103" s="277"/>
      <c r="AO103" s="277"/>
      <c r="AP103" s="277"/>
      <c r="AQ103" s="278"/>
      <c r="BN103" s="276"/>
      <c r="BO103" s="277"/>
      <c r="BP103" s="277"/>
      <c r="BQ103" s="277"/>
      <c r="BR103" s="277"/>
      <c r="BS103" s="277"/>
      <c r="BT103" s="277"/>
      <c r="BU103" s="277"/>
      <c r="BV103" s="277"/>
      <c r="BW103" s="277"/>
      <c r="BX103" s="277"/>
      <c r="BY103" s="277"/>
      <c r="BZ103" s="277"/>
      <c r="CA103" s="277"/>
      <c r="CB103" s="277"/>
      <c r="CC103" s="277"/>
      <c r="CD103" s="277"/>
      <c r="CE103" s="277"/>
      <c r="CF103" s="277"/>
      <c r="CG103" s="277"/>
      <c r="CH103" s="277"/>
      <c r="CI103" s="277"/>
      <c r="CJ103" s="277"/>
      <c r="CK103" s="277"/>
      <c r="CL103" s="277"/>
      <c r="CM103" s="277"/>
      <c r="CN103" s="277"/>
      <c r="CO103" s="277"/>
      <c r="CP103" s="277"/>
      <c r="CQ103" s="277"/>
      <c r="CR103" s="277"/>
      <c r="CS103" s="278"/>
    </row>
    <row r="104" spans="12:97" ht="17.399999999999999" customHeight="1" x14ac:dyDescent="0.4">
      <c r="L104" s="276"/>
      <c r="M104" s="277"/>
      <c r="N104" s="277"/>
      <c r="O104" s="277"/>
      <c r="P104" s="277"/>
      <c r="Q104" s="277"/>
      <c r="R104" s="277"/>
      <c r="S104" s="277"/>
      <c r="T104" s="277"/>
      <c r="U104" s="277"/>
      <c r="V104" s="277"/>
      <c r="W104" s="277"/>
      <c r="X104" s="277"/>
      <c r="Y104" s="277"/>
      <c r="Z104" s="277"/>
      <c r="AA104" s="277"/>
      <c r="AB104" s="277"/>
      <c r="AC104" s="277"/>
      <c r="AD104" s="277"/>
      <c r="AE104" s="277"/>
      <c r="AF104" s="277"/>
      <c r="AG104" s="277"/>
      <c r="AH104" s="277"/>
      <c r="AI104" s="277"/>
      <c r="AJ104" s="277"/>
      <c r="AK104" s="277"/>
      <c r="AL104" s="277"/>
      <c r="AM104" s="277"/>
      <c r="AN104" s="277"/>
      <c r="AO104" s="277"/>
      <c r="AP104" s="277"/>
      <c r="AQ104" s="278"/>
      <c r="BN104" s="276"/>
      <c r="BO104" s="277"/>
      <c r="BP104" s="277"/>
      <c r="BQ104" s="277"/>
      <c r="BR104" s="277"/>
      <c r="BS104" s="277"/>
      <c r="BT104" s="277"/>
      <c r="BU104" s="277"/>
      <c r="BV104" s="277"/>
      <c r="BW104" s="277"/>
      <c r="BX104" s="277"/>
      <c r="BY104" s="277"/>
      <c r="BZ104" s="277"/>
      <c r="CA104" s="277"/>
      <c r="CB104" s="277"/>
      <c r="CC104" s="277"/>
      <c r="CD104" s="277"/>
      <c r="CE104" s="277"/>
      <c r="CF104" s="277"/>
      <c r="CG104" s="277"/>
      <c r="CH104" s="277"/>
      <c r="CI104" s="277"/>
      <c r="CJ104" s="277"/>
      <c r="CK104" s="277"/>
      <c r="CL104" s="277"/>
      <c r="CM104" s="277"/>
      <c r="CN104" s="277"/>
      <c r="CO104" s="277"/>
      <c r="CP104" s="277"/>
      <c r="CQ104" s="277"/>
      <c r="CR104" s="277"/>
      <c r="CS104" s="278"/>
    </row>
    <row r="105" spans="12:97" ht="17.399999999999999" customHeight="1" x14ac:dyDescent="0.4">
      <c r="L105" s="276"/>
      <c r="M105" s="277"/>
      <c r="N105" s="277"/>
      <c r="O105" s="277"/>
      <c r="P105" s="277"/>
      <c r="Q105" s="277"/>
      <c r="R105" s="277"/>
      <c r="S105" s="277"/>
      <c r="T105" s="277"/>
      <c r="U105" s="277"/>
      <c r="V105" s="277"/>
      <c r="W105" s="277"/>
      <c r="X105" s="277"/>
      <c r="Y105" s="277"/>
      <c r="Z105" s="277"/>
      <c r="AA105" s="277"/>
      <c r="AB105" s="277"/>
      <c r="AC105" s="277"/>
      <c r="AD105" s="277"/>
      <c r="AE105" s="277"/>
      <c r="AF105" s="277"/>
      <c r="AG105" s="277"/>
      <c r="AH105" s="277"/>
      <c r="AI105" s="277"/>
      <c r="AJ105" s="277"/>
      <c r="AK105" s="277"/>
      <c r="AL105" s="277"/>
      <c r="AM105" s="277"/>
      <c r="AN105" s="277"/>
      <c r="AO105" s="277"/>
      <c r="AP105" s="277"/>
      <c r="AQ105" s="278"/>
      <c r="BN105" s="276"/>
      <c r="BO105" s="277"/>
      <c r="BP105" s="277"/>
      <c r="BQ105" s="277"/>
      <c r="BR105" s="277"/>
      <c r="BS105" s="277"/>
      <c r="BT105" s="277"/>
      <c r="BU105" s="277"/>
      <c r="BV105" s="277"/>
      <c r="BW105" s="277"/>
      <c r="BX105" s="277"/>
      <c r="BY105" s="277"/>
      <c r="BZ105" s="277"/>
      <c r="CA105" s="277"/>
      <c r="CB105" s="277"/>
      <c r="CC105" s="277"/>
      <c r="CD105" s="277"/>
      <c r="CE105" s="277"/>
      <c r="CF105" s="277"/>
      <c r="CG105" s="277"/>
      <c r="CH105" s="277"/>
      <c r="CI105" s="277"/>
      <c r="CJ105" s="277"/>
      <c r="CK105" s="277"/>
      <c r="CL105" s="277"/>
      <c r="CM105" s="277"/>
      <c r="CN105" s="277"/>
      <c r="CO105" s="277"/>
      <c r="CP105" s="277"/>
      <c r="CQ105" s="277"/>
      <c r="CR105" s="277"/>
      <c r="CS105" s="278"/>
    </row>
    <row r="106" spans="12:97" ht="17.399999999999999" customHeight="1" x14ac:dyDescent="0.4">
      <c r="L106" s="276"/>
      <c r="M106" s="277"/>
      <c r="N106" s="277"/>
      <c r="O106" s="277"/>
      <c r="P106" s="277"/>
      <c r="Q106" s="277"/>
      <c r="R106" s="277"/>
      <c r="S106" s="277"/>
      <c r="T106" s="277"/>
      <c r="U106" s="277"/>
      <c r="V106" s="277"/>
      <c r="W106" s="277"/>
      <c r="X106" s="277"/>
      <c r="Y106" s="277"/>
      <c r="Z106" s="277"/>
      <c r="AA106" s="277"/>
      <c r="AB106" s="277"/>
      <c r="AC106" s="277"/>
      <c r="AD106" s="277"/>
      <c r="AE106" s="277"/>
      <c r="AF106" s="277"/>
      <c r="AG106" s="277"/>
      <c r="AH106" s="277"/>
      <c r="AI106" s="277"/>
      <c r="AJ106" s="277"/>
      <c r="AK106" s="277"/>
      <c r="AL106" s="277"/>
      <c r="AM106" s="277"/>
      <c r="AN106" s="277"/>
      <c r="AO106" s="277"/>
      <c r="AP106" s="277"/>
      <c r="AQ106" s="278"/>
      <c r="BN106" s="276"/>
      <c r="BO106" s="277"/>
      <c r="BP106" s="277"/>
      <c r="BQ106" s="277"/>
      <c r="BR106" s="277"/>
      <c r="BS106" s="277"/>
      <c r="BT106" s="277"/>
      <c r="BU106" s="277"/>
      <c r="BV106" s="277"/>
      <c r="BW106" s="277"/>
      <c r="BX106" s="277"/>
      <c r="BY106" s="277"/>
      <c r="BZ106" s="277"/>
      <c r="CA106" s="277"/>
      <c r="CB106" s="277"/>
      <c r="CC106" s="277"/>
      <c r="CD106" s="277"/>
      <c r="CE106" s="277"/>
      <c r="CF106" s="277"/>
      <c r="CG106" s="277"/>
      <c r="CH106" s="277"/>
      <c r="CI106" s="277"/>
      <c r="CJ106" s="277"/>
      <c r="CK106" s="277"/>
      <c r="CL106" s="277"/>
      <c r="CM106" s="277"/>
      <c r="CN106" s="277"/>
      <c r="CO106" s="277"/>
      <c r="CP106" s="277"/>
      <c r="CQ106" s="277"/>
      <c r="CR106" s="277"/>
      <c r="CS106" s="278"/>
    </row>
    <row r="107" spans="12:97" ht="17.399999999999999" customHeight="1" x14ac:dyDescent="0.4">
      <c r="L107" s="276"/>
      <c r="M107" s="277"/>
      <c r="N107" s="277"/>
      <c r="O107" s="277"/>
      <c r="P107" s="277"/>
      <c r="Q107" s="277"/>
      <c r="R107" s="277"/>
      <c r="S107" s="277"/>
      <c r="T107" s="277"/>
      <c r="U107" s="277"/>
      <c r="V107" s="277"/>
      <c r="W107" s="277"/>
      <c r="X107" s="277"/>
      <c r="Y107" s="277"/>
      <c r="Z107" s="277"/>
      <c r="AA107" s="277"/>
      <c r="AB107" s="277"/>
      <c r="AC107" s="277"/>
      <c r="AD107" s="277"/>
      <c r="AE107" s="277"/>
      <c r="AF107" s="277"/>
      <c r="AG107" s="277"/>
      <c r="AH107" s="277"/>
      <c r="AI107" s="277"/>
      <c r="AJ107" s="277"/>
      <c r="AK107" s="277"/>
      <c r="AL107" s="277"/>
      <c r="AM107" s="277"/>
      <c r="AN107" s="277"/>
      <c r="AO107" s="277"/>
      <c r="AP107" s="277"/>
      <c r="AQ107" s="278"/>
      <c r="BN107" s="276"/>
      <c r="BO107" s="277"/>
      <c r="BP107" s="277"/>
      <c r="BQ107" s="277"/>
      <c r="BR107" s="277"/>
      <c r="BS107" s="277"/>
      <c r="BT107" s="277"/>
      <c r="BU107" s="277"/>
      <c r="BV107" s="277"/>
      <c r="BW107" s="277"/>
      <c r="BX107" s="277"/>
      <c r="BY107" s="277"/>
      <c r="BZ107" s="277"/>
      <c r="CA107" s="277"/>
      <c r="CB107" s="277"/>
      <c r="CC107" s="277"/>
      <c r="CD107" s="277"/>
      <c r="CE107" s="277"/>
      <c r="CF107" s="277"/>
      <c r="CG107" s="277"/>
      <c r="CH107" s="277"/>
      <c r="CI107" s="277"/>
      <c r="CJ107" s="277"/>
      <c r="CK107" s="277"/>
      <c r="CL107" s="277"/>
      <c r="CM107" s="277"/>
      <c r="CN107" s="277"/>
      <c r="CO107" s="277"/>
      <c r="CP107" s="277"/>
      <c r="CQ107" s="277"/>
      <c r="CR107" s="277"/>
      <c r="CS107" s="278"/>
    </row>
    <row r="108" spans="12:97" ht="17.399999999999999" customHeight="1" x14ac:dyDescent="0.4">
      <c r="L108" s="276"/>
      <c r="M108" s="277"/>
      <c r="N108" s="277"/>
      <c r="O108" s="277"/>
      <c r="P108" s="277"/>
      <c r="Q108" s="277"/>
      <c r="R108" s="277"/>
      <c r="S108" s="277"/>
      <c r="T108" s="277"/>
      <c r="U108" s="277"/>
      <c r="V108" s="277"/>
      <c r="W108" s="277"/>
      <c r="X108" s="277"/>
      <c r="Y108" s="277"/>
      <c r="Z108" s="277"/>
      <c r="AA108" s="277"/>
      <c r="AB108" s="277"/>
      <c r="AC108" s="277"/>
      <c r="AD108" s="277"/>
      <c r="AE108" s="277"/>
      <c r="AF108" s="277"/>
      <c r="AG108" s="277"/>
      <c r="AH108" s="277"/>
      <c r="AI108" s="277"/>
      <c r="AJ108" s="277"/>
      <c r="AK108" s="277"/>
      <c r="AL108" s="277"/>
      <c r="AM108" s="277"/>
      <c r="AN108" s="277"/>
      <c r="AO108" s="277"/>
      <c r="AP108" s="277"/>
      <c r="AQ108" s="278"/>
      <c r="BN108" s="276"/>
      <c r="BO108" s="277"/>
      <c r="BP108" s="277"/>
      <c r="BQ108" s="277"/>
      <c r="BR108" s="277"/>
      <c r="BS108" s="277"/>
      <c r="BT108" s="277"/>
      <c r="BU108" s="277"/>
      <c r="BV108" s="277"/>
      <c r="BW108" s="277"/>
      <c r="BX108" s="277"/>
      <c r="BY108" s="277"/>
      <c r="BZ108" s="277"/>
      <c r="CA108" s="277"/>
      <c r="CB108" s="277"/>
      <c r="CC108" s="277"/>
      <c r="CD108" s="277"/>
      <c r="CE108" s="277"/>
      <c r="CF108" s="277"/>
      <c r="CG108" s="277"/>
      <c r="CH108" s="277"/>
      <c r="CI108" s="277"/>
      <c r="CJ108" s="277"/>
      <c r="CK108" s="277"/>
      <c r="CL108" s="277"/>
      <c r="CM108" s="277"/>
      <c r="CN108" s="277"/>
      <c r="CO108" s="277"/>
      <c r="CP108" s="277"/>
      <c r="CQ108" s="277"/>
      <c r="CR108" s="277"/>
      <c r="CS108" s="278"/>
    </row>
    <row r="109" spans="12:97" ht="17.399999999999999" customHeight="1" x14ac:dyDescent="0.4">
      <c r="L109" s="276"/>
      <c r="M109" s="277"/>
      <c r="N109" s="277"/>
      <c r="O109" s="277"/>
      <c r="P109" s="277"/>
      <c r="Q109" s="277"/>
      <c r="R109" s="277"/>
      <c r="S109" s="277"/>
      <c r="T109" s="277"/>
      <c r="U109" s="277"/>
      <c r="V109" s="277"/>
      <c r="W109" s="277"/>
      <c r="X109" s="277"/>
      <c r="Y109" s="277"/>
      <c r="Z109" s="277"/>
      <c r="AA109" s="277"/>
      <c r="AB109" s="277"/>
      <c r="AC109" s="277"/>
      <c r="AD109" s="277"/>
      <c r="AE109" s="277"/>
      <c r="AF109" s="277"/>
      <c r="AG109" s="277"/>
      <c r="AH109" s="277"/>
      <c r="AI109" s="277"/>
      <c r="AJ109" s="277"/>
      <c r="AK109" s="277"/>
      <c r="AL109" s="277"/>
      <c r="AM109" s="277"/>
      <c r="AN109" s="277"/>
      <c r="AO109" s="277"/>
      <c r="AP109" s="277"/>
      <c r="AQ109" s="278"/>
      <c r="BN109" s="276"/>
      <c r="BO109" s="277"/>
      <c r="BP109" s="277"/>
      <c r="BQ109" s="277"/>
      <c r="BR109" s="277"/>
      <c r="BS109" s="277"/>
      <c r="BT109" s="277"/>
      <c r="BU109" s="277"/>
      <c r="BV109" s="277"/>
      <c r="BW109" s="277"/>
      <c r="BX109" s="277"/>
      <c r="BY109" s="277"/>
      <c r="BZ109" s="277"/>
      <c r="CA109" s="277"/>
      <c r="CB109" s="277"/>
      <c r="CC109" s="277"/>
      <c r="CD109" s="277"/>
      <c r="CE109" s="277"/>
      <c r="CF109" s="277"/>
      <c r="CG109" s="277"/>
      <c r="CH109" s="277"/>
      <c r="CI109" s="277"/>
      <c r="CJ109" s="277"/>
      <c r="CK109" s="277"/>
      <c r="CL109" s="277"/>
      <c r="CM109" s="277"/>
      <c r="CN109" s="277"/>
      <c r="CO109" s="277"/>
      <c r="CP109" s="277"/>
      <c r="CQ109" s="277"/>
      <c r="CR109" s="277"/>
      <c r="CS109" s="278"/>
    </row>
    <row r="110" spans="12:97" ht="17.399999999999999" customHeight="1" x14ac:dyDescent="0.4">
      <c r="L110" s="276"/>
      <c r="M110" s="277"/>
      <c r="N110" s="277"/>
      <c r="O110" s="277"/>
      <c r="P110" s="277"/>
      <c r="Q110" s="277"/>
      <c r="R110" s="277"/>
      <c r="S110" s="277"/>
      <c r="T110" s="277"/>
      <c r="U110" s="277"/>
      <c r="V110" s="277"/>
      <c r="W110" s="277"/>
      <c r="X110" s="277"/>
      <c r="Y110" s="277"/>
      <c r="Z110" s="277"/>
      <c r="AA110" s="277"/>
      <c r="AB110" s="277"/>
      <c r="AC110" s="277"/>
      <c r="AD110" s="277"/>
      <c r="AE110" s="277"/>
      <c r="AF110" s="277"/>
      <c r="AG110" s="277"/>
      <c r="AH110" s="277"/>
      <c r="AI110" s="277"/>
      <c r="AJ110" s="277"/>
      <c r="AK110" s="277"/>
      <c r="AL110" s="277"/>
      <c r="AM110" s="277"/>
      <c r="AN110" s="277"/>
      <c r="AO110" s="277"/>
      <c r="AP110" s="277"/>
      <c r="AQ110" s="278"/>
      <c r="BN110" s="276"/>
      <c r="BO110" s="277"/>
      <c r="BP110" s="277"/>
      <c r="BQ110" s="277"/>
      <c r="BR110" s="277"/>
      <c r="BS110" s="277"/>
      <c r="BT110" s="277"/>
      <c r="BU110" s="277"/>
      <c r="BV110" s="277"/>
      <c r="BW110" s="277"/>
      <c r="BX110" s="277"/>
      <c r="BY110" s="277"/>
      <c r="BZ110" s="277"/>
      <c r="CA110" s="277"/>
      <c r="CB110" s="277"/>
      <c r="CC110" s="277"/>
      <c r="CD110" s="277"/>
      <c r="CE110" s="277"/>
      <c r="CF110" s="277"/>
      <c r="CG110" s="277"/>
      <c r="CH110" s="277"/>
      <c r="CI110" s="277"/>
      <c r="CJ110" s="277"/>
      <c r="CK110" s="277"/>
      <c r="CL110" s="277"/>
      <c r="CM110" s="277"/>
      <c r="CN110" s="277"/>
      <c r="CO110" s="277"/>
      <c r="CP110" s="277"/>
      <c r="CQ110" s="277"/>
      <c r="CR110" s="277"/>
      <c r="CS110" s="278"/>
    </row>
    <row r="111" spans="12:97" ht="17.399999999999999" customHeight="1" x14ac:dyDescent="0.4">
      <c r="L111" s="276"/>
      <c r="M111" s="277"/>
      <c r="N111" s="277"/>
      <c r="O111" s="277"/>
      <c r="P111" s="277"/>
      <c r="Q111" s="277"/>
      <c r="R111" s="277"/>
      <c r="S111" s="277"/>
      <c r="T111" s="277"/>
      <c r="U111" s="277"/>
      <c r="V111" s="277"/>
      <c r="W111" s="277"/>
      <c r="X111" s="277"/>
      <c r="Y111" s="277"/>
      <c r="Z111" s="277"/>
      <c r="AA111" s="277"/>
      <c r="AB111" s="277"/>
      <c r="AC111" s="277"/>
      <c r="AD111" s="277"/>
      <c r="AE111" s="277"/>
      <c r="AF111" s="277"/>
      <c r="AG111" s="277"/>
      <c r="AH111" s="277"/>
      <c r="AI111" s="277"/>
      <c r="AJ111" s="277"/>
      <c r="AK111" s="277"/>
      <c r="AL111" s="277"/>
      <c r="AM111" s="277"/>
      <c r="AN111" s="277"/>
      <c r="AO111" s="277"/>
      <c r="AP111" s="277"/>
      <c r="AQ111" s="278"/>
      <c r="BN111" s="276"/>
      <c r="BO111" s="277"/>
      <c r="BP111" s="277"/>
      <c r="BQ111" s="277"/>
      <c r="BR111" s="277"/>
      <c r="BS111" s="277"/>
      <c r="BT111" s="277"/>
      <c r="BU111" s="277"/>
      <c r="BV111" s="277"/>
      <c r="BW111" s="277"/>
      <c r="BX111" s="277"/>
      <c r="BY111" s="277"/>
      <c r="BZ111" s="277"/>
      <c r="CA111" s="277"/>
      <c r="CB111" s="277"/>
      <c r="CC111" s="277"/>
      <c r="CD111" s="277"/>
      <c r="CE111" s="277"/>
      <c r="CF111" s="277"/>
      <c r="CG111" s="277"/>
      <c r="CH111" s="277"/>
      <c r="CI111" s="277"/>
      <c r="CJ111" s="277"/>
      <c r="CK111" s="277"/>
      <c r="CL111" s="277"/>
      <c r="CM111" s="277"/>
      <c r="CN111" s="277"/>
      <c r="CO111" s="277"/>
      <c r="CP111" s="277"/>
      <c r="CQ111" s="277"/>
      <c r="CR111" s="277"/>
      <c r="CS111" s="278"/>
    </row>
    <row r="112" spans="12:97" ht="17.399999999999999" customHeight="1" x14ac:dyDescent="0.4">
      <c r="L112" s="276"/>
      <c r="M112" s="277"/>
      <c r="N112" s="277"/>
      <c r="O112" s="277"/>
      <c r="P112" s="277"/>
      <c r="Q112" s="277"/>
      <c r="R112" s="277"/>
      <c r="S112" s="277"/>
      <c r="T112" s="277"/>
      <c r="U112" s="277"/>
      <c r="V112" s="277"/>
      <c r="W112" s="277"/>
      <c r="X112" s="277"/>
      <c r="Y112" s="277"/>
      <c r="Z112" s="277"/>
      <c r="AA112" s="277"/>
      <c r="AB112" s="277"/>
      <c r="AC112" s="277"/>
      <c r="AD112" s="277"/>
      <c r="AE112" s="277"/>
      <c r="AF112" s="277"/>
      <c r="AG112" s="277"/>
      <c r="AH112" s="277"/>
      <c r="AI112" s="277"/>
      <c r="AJ112" s="277"/>
      <c r="AK112" s="277"/>
      <c r="AL112" s="277"/>
      <c r="AM112" s="277"/>
      <c r="AN112" s="277"/>
      <c r="AO112" s="277"/>
      <c r="AP112" s="277"/>
      <c r="AQ112" s="278"/>
      <c r="BN112" s="276"/>
      <c r="BO112" s="277"/>
      <c r="BP112" s="277"/>
      <c r="BQ112" s="277"/>
      <c r="BR112" s="277"/>
      <c r="BS112" s="277"/>
      <c r="BT112" s="277"/>
      <c r="BU112" s="277"/>
      <c r="BV112" s="277"/>
      <c r="BW112" s="277"/>
      <c r="BX112" s="277"/>
      <c r="BY112" s="277"/>
      <c r="BZ112" s="277"/>
      <c r="CA112" s="277"/>
      <c r="CB112" s="277"/>
      <c r="CC112" s="277"/>
      <c r="CD112" s="277"/>
      <c r="CE112" s="277"/>
      <c r="CF112" s="277"/>
      <c r="CG112" s="277"/>
      <c r="CH112" s="277"/>
      <c r="CI112" s="277"/>
      <c r="CJ112" s="277"/>
      <c r="CK112" s="277"/>
      <c r="CL112" s="277"/>
      <c r="CM112" s="277"/>
      <c r="CN112" s="277"/>
      <c r="CO112" s="277"/>
      <c r="CP112" s="277"/>
      <c r="CQ112" s="277"/>
      <c r="CR112" s="277"/>
      <c r="CS112" s="278"/>
    </row>
    <row r="113" spans="12:97" ht="17.399999999999999" customHeight="1" x14ac:dyDescent="0.4">
      <c r="L113" s="276"/>
      <c r="M113" s="277"/>
      <c r="N113" s="277"/>
      <c r="O113" s="277"/>
      <c r="P113" s="277"/>
      <c r="Q113" s="277"/>
      <c r="R113" s="277"/>
      <c r="S113" s="277"/>
      <c r="T113" s="277"/>
      <c r="U113" s="277"/>
      <c r="V113" s="277"/>
      <c r="W113" s="277"/>
      <c r="X113" s="277"/>
      <c r="Y113" s="277"/>
      <c r="Z113" s="277"/>
      <c r="AA113" s="277"/>
      <c r="AB113" s="277"/>
      <c r="AC113" s="277"/>
      <c r="AD113" s="277"/>
      <c r="AE113" s="277"/>
      <c r="AF113" s="277"/>
      <c r="AG113" s="277"/>
      <c r="AH113" s="277"/>
      <c r="AI113" s="277"/>
      <c r="AJ113" s="277"/>
      <c r="AK113" s="277"/>
      <c r="AL113" s="277"/>
      <c r="AM113" s="277"/>
      <c r="AN113" s="277"/>
      <c r="AO113" s="277"/>
      <c r="AP113" s="277"/>
      <c r="AQ113" s="278"/>
      <c r="BN113" s="276"/>
      <c r="BO113" s="277"/>
      <c r="BP113" s="277"/>
      <c r="BQ113" s="277"/>
      <c r="BR113" s="277"/>
      <c r="BS113" s="277"/>
      <c r="BT113" s="277"/>
      <c r="BU113" s="277"/>
      <c r="BV113" s="277"/>
      <c r="BW113" s="277"/>
      <c r="BX113" s="277"/>
      <c r="BY113" s="277"/>
      <c r="BZ113" s="277"/>
      <c r="CA113" s="277"/>
      <c r="CB113" s="277"/>
      <c r="CC113" s="277"/>
      <c r="CD113" s="277"/>
      <c r="CE113" s="277"/>
      <c r="CF113" s="277"/>
      <c r="CG113" s="277"/>
      <c r="CH113" s="277"/>
      <c r="CI113" s="277"/>
      <c r="CJ113" s="277"/>
      <c r="CK113" s="277"/>
      <c r="CL113" s="277"/>
      <c r="CM113" s="277"/>
      <c r="CN113" s="277"/>
      <c r="CO113" s="277"/>
      <c r="CP113" s="277"/>
      <c r="CQ113" s="277"/>
      <c r="CR113" s="277"/>
      <c r="CS113" s="278"/>
    </row>
    <row r="114" spans="12:97" ht="17.399999999999999" customHeight="1" x14ac:dyDescent="0.4">
      <c r="L114" s="276"/>
      <c r="M114" s="277"/>
      <c r="N114" s="277"/>
      <c r="O114" s="277"/>
      <c r="P114" s="277"/>
      <c r="Q114" s="277"/>
      <c r="R114" s="277"/>
      <c r="S114" s="277"/>
      <c r="T114" s="277"/>
      <c r="U114" s="277"/>
      <c r="V114" s="277"/>
      <c r="W114" s="277"/>
      <c r="X114" s="277"/>
      <c r="Y114" s="277"/>
      <c r="Z114" s="277"/>
      <c r="AA114" s="277"/>
      <c r="AB114" s="277"/>
      <c r="AC114" s="277"/>
      <c r="AD114" s="277"/>
      <c r="AE114" s="277"/>
      <c r="AF114" s="277"/>
      <c r="AG114" s="277"/>
      <c r="AH114" s="277"/>
      <c r="AI114" s="277"/>
      <c r="AJ114" s="277"/>
      <c r="AK114" s="277"/>
      <c r="AL114" s="277"/>
      <c r="AM114" s="277"/>
      <c r="AN114" s="277"/>
      <c r="AO114" s="277"/>
      <c r="AP114" s="277"/>
      <c r="AQ114" s="278"/>
      <c r="BN114" s="276"/>
      <c r="BO114" s="277"/>
      <c r="BP114" s="277"/>
      <c r="BQ114" s="277"/>
      <c r="BR114" s="277"/>
      <c r="BS114" s="277"/>
      <c r="BT114" s="277"/>
      <c r="BU114" s="277"/>
      <c r="BV114" s="277"/>
      <c r="BW114" s="277"/>
      <c r="BX114" s="277"/>
      <c r="BY114" s="277"/>
      <c r="BZ114" s="277"/>
      <c r="CA114" s="277"/>
      <c r="CB114" s="277"/>
      <c r="CC114" s="277"/>
      <c r="CD114" s="277"/>
      <c r="CE114" s="277"/>
      <c r="CF114" s="277"/>
      <c r="CG114" s="277"/>
      <c r="CH114" s="277"/>
      <c r="CI114" s="277"/>
      <c r="CJ114" s="277"/>
      <c r="CK114" s="277"/>
      <c r="CL114" s="277"/>
      <c r="CM114" s="277"/>
      <c r="CN114" s="277"/>
      <c r="CO114" s="277"/>
      <c r="CP114" s="277"/>
      <c r="CQ114" s="277"/>
      <c r="CR114" s="277"/>
      <c r="CS114" s="278"/>
    </row>
    <row r="115" spans="12:97" ht="17.399999999999999" customHeight="1" x14ac:dyDescent="0.4">
      <c r="L115" s="276"/>
      <c r="M115" s="277"/>
      <c r="N115" s="277"/>
      <c r="O115" s="277"/>
      <c r="P115" s="277"/>
      <c r="Q115" s="277"/>
      <c r="R115" s="277"/>
      <c r="S115" s="277"/>
      <c r="T115" s="277"/>
      <c r="U115" s="277"/>
      <c r="V115" s="277"/>
      <c r="W115" s="277"/>
      <c r="X115" s="277"/>
      <c r="Y115" s="277"/>
      <c r="Z115" s="277"/>
      <c r="AA115" s="277"/>
      <c r="AB115" s="277"/>
      <c r="AC115" s="277"/>
      <c r="AD115" s="277"/>
      <c r="AE115" s="277"/>
      <c r="AF115" s="277"/>
      <c r="AG115" s="277"/>
      <c r="AH115" s="277"/>
      <c r="AI115" s="277"/>
      <c r="AJ115" s="277"/>
      <c r="AK115" s="277"/>
      <c r="AL115" s="277"/>
      <c r="AM115" s="277"/>
      <c r="AN115" s="277"/>
      <c r="AO115" s="277"/>
      <c r="AP115" s="277"/>
      <c r="AQ115" s="278"/>
      <c r="BN115" s="276"/>
      <c r="BO115" s="277"/>
      <c r="BP115" s="277"/>
      <c r="BQ115" s="277"/>
      <c r="BR115" s="277"/>
      <c r="BS115" s="277"/>
      <c r="BT115" s="277"/>
      <c r="BU115" s="277"/>
      <c r="BV115" s="277"/>
      <c r="BW115" s="277"/>
      <c r="BX115" s="277"/>
      <c r="BY115" s="277"/>
      <c r="BZ115" s="277"/>
      <c r="CA115" s="277"/>
      <c r="CB115" s="277"/>
      <c r="CC115" s="277"/>
      <c r="CD115" s="277"/>
      <c r="CE115" s="277"/>
      <c r="CF115" s="277"/>
      <c r="CG115" s="277"/>
      <c r="CH115" s="277"/>
      <c r="CI115" s="277"/>
      <c r="CJ115" s="277"/>
      <c r="CK115" s="277"/>
      <c r="CL115" s="277"/>
      <c r="CM115" s="277"/>
      <c r="CN115" s="277"/>
      <c r="CO115" s="277"/>
      <c r="CP115" s="277"/>
      <c r="CQ115" s="277"/>
      <c r="CR115" s="277"/>
      <c r="CS115" s="278"/>
    </row>
    <row r="116" spans="12:97" ht="17.399999999999999" customHeight="1" x14ac:dyDescent="0.4">
      <c r="L116" s="276"/>
      <c r="M116" s="277"/>
      <c r="N116" s="277"/>
      <c r="O116" s="277"/>
      <c r="P116" s="277"/>
      <c r="Q116" s="277"/>
      <c r="R116" s="277"/>
      <c r="S116" s="277"/>
      <c r="T116" s="277"/>
      <c r="U116" s="277"/>
      <c r="V116" s="277"/>
      <c r="W116" s="277"/>
      <c r="X116" s="277"/>
      <c r="Y116" s="277"/>
      <c r="Z116" s="277"/>
      <c r="AA116" s="277"/>
      <c r="AB116" s="277"/>
      <c r="AC116" s="277"/>
      <c r="AD116" s="277"/>
      <c r="AE116" s="277"/>
      <c r="AF116" s="277"/>
      <c r="AG116" s="277"/>
      <c r="AH116" s="277"/>
      <c r="AI116" s="277"/>
      <c r="AJ116" s="277"/>
      <c r="AK116" s="277"/>
      <c r="AL116" s="277"/>
      <c r="AM116" s="277"/>
      <c r="AN116" s="277"/>
      <c r="AO116" s="277"/>
      <c r="AP116" s="277"/>
      <c r="AQ116" s="278"/>
      <c r="BN116" s="276"/>
      <c r="BO116" s="277"/>
      <c r="BP116" s="277"/>
      <c r="BQ116" s="277"/>
      <c r="BR116" s="277"/>
      <c r="BS116" s="277"/>
      <c r="BT116" s="277"/>
      <c r="BU116" s="277"/>
      <c r="BV116" s="277"/>
      <c r="BW116" s="277"/>
      <c r="BX116" s="277"/>
      <c r="BY116" s="277"/>
      <c r="BZ116" s="277"/>
      <c r="CA116" s="277"/>
      <c r="CB116" s="277"/>
      <c r="CC116" s="277"/>
      <c r="CD116" s="277"/>
      <c r="CE116" s="277"/>
      <c r="CF116" s="277"/>
      <c r="CG116" s="277"/>
      <c r="CH116" s="277"/>
      <c r="CI116" s="277"/>
      <c r="CJ116" s="277"/>
      <c r="CK116" s="277"/>
      <c r="CL116" s="277"/>
      <c r="CM116" s="277"/>
      <c r="CN116" s="277"/>
      <c r="CO116" s="277"/>
      <c r="CP116" s="277"/>
      <c r="CQ116" s="277"/>
      <c r="CR116" s="277"/>
      <c r="CS116" s="278"/>
    </row>
    <row r="117" spans="12:97" ht="17.399999999999999" customHeight="1" x14ac:dyDescent="0.4">
      <c r="L117" s="276"/>
      <c r="M117" s="277"/>
      <c r="N117" s="277"/>
      <c r="O117" s="277"/>
      <c r="P117" s="277"/>
      <c r="Q117" s="277"/>
      <c r="R117" s="277"/>
      <c r="S117" s="277"/>
      <c r="T117" s="277"/>
      <c r="U117" s="277"/>
      <c r="V117" s="277"/>
      <c r="W117" s="277"/>
      <c r="X117" s="277"/>
      <c r="Y117" s="277"/>
      <c r="Z117" s="277"/>
      <c r="AA117" s="277"/>
      <c r="AB117" s="277"/>
      <c r="AC117" s="277"/>
      <c r="AD117" s="277"/>
      <c r="AE117" s="277"/>
      <c r="AF117" s="277"/>
      <c r="AG117" s="277"/>
      <c r="AH117" s="277"/>
      <c r="AI117" s="277"/>
      <c r="AJ117" s="277"/>
      <c r="AK117" s="277"/>
      <c r="AL117" s="277"/>
      <c r="AM117" s="277"/>
      <c r="AN117" s="277"/>
      <c r="AO117" s="277"/>
      <c r="AP117" s="277"/>
      <c r="AQ117" s="278"/>
      <c r="BN117" s="276"/>
      <c r="BO117" s="277"/>
      <c r="BP117" s="277"/>
      <c r="BQ117" s="277"/>
      <c r="BR117" s="277"/>
      <c r="BS117" s="277"/>
      <c r="BT117" s="277"/>
      <c r="BU117" s="277"/>
      <c r="BV117" s="277"/>
      <c r="BW117" s="277"/>
      <c r="BX117" s="277"/>
      <c r="BY117" s="277"/>
      <c r="BZ117" s="277"/>
      <c r="CA117" s="277"/>
      <c r="CB117" s="277"/>
      <c r="CC117" s="277"/>
      <c r="CD117" s="277"/>
      <c r="CE117" s="277"/>
      <c r="CF117" s="277"/>
      <c r="CG117" s="277"/>
      <c r="CH117" s="277"/>
      <c r="CI117" s="277"/>
      <c r="CJ117" s="277"/>
      <c r="CK117" s="277"/>
      <c r="CL117" s="277"/>
      <c r="CM117" s="277"/>
      <c r="CN117" s="277"/>
      <c r="CO117" s="277"/>
      <c r="CP117" s="277"/>
      <c r="CQ117" s="277"/>
      <c r="CR117" s="277"/>
      <c r="CS117" s="278"/>
    </row>
    <row r="118" spans="12:97" ht="17.399999999999999" customHeight="1" thickBot="1" x14ac:dyDescent="0.45">
      <c r="L118" s="276"/>
      <c r="M118" s="277"/>
      <c r="N118" s="277"/>
      <c r="O118" s="277"/>
      <c r="P118" s="277"/>
      <c r="Q118" s="277"/>
      <c r="R118" s="277"/>
      <c r="S118" s="277"/>
      <c r="T118" s="277"/>
      <c r="U118" s="277"/>
      <c r="V118" s="277"/>
      <c r="W118" s="277"/>
      <c r="X118" s="277"/>
      <c r="Y118" s="277"/>
      <c r="Z118" s="277"/>
      <c r="AA118" s="277"/>
      <c r="AB118" s="277"/>
      <c r="AC118" s="277"/>
      <c r="AD118" s="277"/>
      <c r="AE118" s="277"/>
      <c r="AF118" s="277"/>
      <c r="AG118" s="277"/>
      <c r="AH118" s="277"/>
      <c r="AI118" s="277"/>
      <c r="AJ118" s="277"/>
      <c r="AK118" s="277"/>
      <c r="AL118" s="277"/>
      <c r="AM118" s="277"/>
      <c r="AN118" s="277"/>
      <c r="AO118" s="277"/>
      <c r="AP118" s="277"/>
      <c r="AQ118" s="278"/>
      <c r="BN118" s="279"/>
      <c r="BO118" s="280"/>
      <c r="BP118" s="280"/>
      <c r="BQ118" s="280"/>
      <c r="BR118" s="280"/>
      <c r="BS118" s="280"/>
      <c r="BT118" s="280"/>
      <c r="BU118" s="280"/>
      <c r="BV118" s="280"/>
      <c r="BW118" s="280"/>
      <c r="BX118" s="280"/>
      <c r="BY118" s="280"/>
      <c r="BZ118" s="280"/>
      <c r="CA118" s="280"/>
      <c r="CB118" s="280"/>
      <c r="CC118" s="280"/>
      <c r="CD118" s="280"/>
      <c r="CE118" s="280"/>
      <c r="CF118" s="280"/>
      <c r="CG118" s="280"/>
      <c r="CH118" s="280"/>
      <c r="CI118" s="280"/>
      <c r="CJ118" s="280"/>
      <c r="CK118" s="280"/>
      <c r="CL118" s="280"/>
      <c r="CM118" s="280"/>
      <c r="CN118" s="280"/>
      <c r="CO118" s="280"/>
      <c r="CP118" s="280"/>
      <c r="CQ118" s="280"/>
      <c r="CR118" s="280"/>
      <c r="CS118" s="281"/>
    </row>
    <row r="119" spans="12:97" ht="17.399999999999999" customHeight="1" x14ac:dyDescent="0.4">
      <c r="L119" s="276"/>
      <c r="M119" s="277"/>
      <c r="N119" s="277"/>
      <c r="O119" s="277"/>
      <c r="P119" s="277"/>
      <c r="Q119" s="277"/>
      <c r="R119" s="277"/>
      <c r="S119" s="277"/>
      <c r="T119" s="277"/>
      <c r="U119" s="277"/>
      <c r="V119" s="277"/>
      <c r="W119" s="277"/>
      <c r="X119" s="277"/>
      <c r="Y119" s="277"/>
      <c r="Z119" s="277"/>
      <c r="AA119" s="277"/>
      <c r="AB119" s="277"/>
      <c r="AC119" s="277"/>
      <c r="AD119" s="277"/>
      <c r="AE119" s="277"/>
      <c r="AF119" s="277"/>
      <c r="AG119" s="277"/>
      <c r="AH119" s="277"/>
      <c r="AI119" s="277"/>
      <c r="AJ119" s="277"/>
      <c r="AK119" s="277"/>
      <c r="AL119" s="277"/>
      <c r="AM119" s="277"/>
      <c r="AN119" s="277"/>
      <c r="AO119" s="277"/>
      <c r="AP119" s="277"/>
      <c r="AQ119" s="278"/>
    </row>
    <row r="120" spans="12:97" ht="17.399999999999999" customHeight="1" thickBot="1" x14ac:dyDescent="0.45">
      <c r="L120" s="279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  <c r="Z120" s="280"/>
      <c r="AA120" s="280"/>
      <c r="AB120" s="280"/>
      <c r="AC120" s="280"/>
      <c r="AD120" s="280"/>
      <c r="AE120" s="280"/>
      <c r="AF120" s="280"/>
      <c r="AG120" s="280"/>
      <c r="AH120" s="280"/>
      <c r="AI120" s="280"/>
      <c r="AJ120" s="280"/>
      <c r="AK120" s="280"/>
      <c r="AL120" s="280"/>
      <c r="AM120" s="280"/>
      <c r="AN120" s="280"/>
      <c r="AO120" s="280"/>
      <c r="AP120" s="280"/>
      <c r="AQ120" s="281"/>
    </row>
    <row r="121" spans="12:97" ht="17.399999999999999" customHeight="1" thickBot="1" x14ac:dyDescent="0.45"/>
    <row r="122" spans="12:97" ht="17.399999999999999" customHeight="1" x14ac:dyDescent="0.4">
      <c r="BN122" s="273" t="s">
        <v>437</v>
      </c>
      <c r="BO122" s="274"/>
      <c r="BP122" s="274"/>
      <c r="BQ122" s="274"/>
      <c r="BR122" s="274"/>
      <c r="BS122" s="274"/>
      <c r="BT122" s="274"/>
      <c r="BU122" s="274"/>
      <c r="BV122" s="274"/>
      <c r="BW122" s="274"/>
      <c r="BX122" s="274"/>
      <c r="BY122" s="274"/>
      <c r="BZ122" s="274"/>
      <c r="CA122" s="274"/>
      <c r="CB122" s="274"/>
      <c r="CC122" s="274"/>
      <c r="CD122" s="274"/>
      <c r="CE122" s="274"/>
      <c r="CF122" s="274"/>
      <c r="CG122" s="274"/>
      <c r="CH122" s="274"/>
      <c r="CI122" s="274"/>
      <c r="CJ122" s="274"/>
      <c r="CK122" s="274"/>
      <c r="CL122" s="274"/>
      <c r="CM122" s="274"/>
      <c r="CN122" s="274"/>
      <c r="CO122" s="274"/>
      <c r="CP122" s="274"/>
      <c r="CQ122" s="274"/>
      <c r="CR122" s="274"/>
      <c r="CS122" s="275"/>
    </row>
    <row r="123" spans="12:97" ht="17.399999999999999" customHeight="1" x14ac:dyDescent="0.4">
      <c r="BN123" s="276"/>
      <c r="BO123" s="277"/>
      <c r="BP123" s="277"/>
      <c r="BQ123" s="277"/>
      <c r="BR123" s="277"/>
      <c r="BS123" s="277"/>
      <c r="BT123" s="277"/>
      <c r="BU123" s="277"/>
      <c r="BV123" s="277"/>
      <c r="BW123" s="277"/>
      <c r="BX123" s="277"/>
      <c r="BY123" s="277"/>
      <c r="BZ123" s="277"/>
      <c r="CA123" s="277"/>
      <c r="CB123" s="277"/>
      <c r="CC123" s="277"/>
      <c r="CD123" s="277"/>
      <c r="CE123" s="277"/>
      <c r="CF123" s="277"/>
      <c r="CG123" s="277"/>
      <c r="CH123" s="277"/>
      <c r="CI123" s="277"/>
      <c r="CJ123" s="277"/>
      <c r="CK123" s="277"/>
      <c r="CL123" s="277"/>
      <c r="CM123" s="277"/>
      <c r="CN123" s="277"/>
      <c r="CO123" s="277"/>
      <c r="CP123" s="277"/>
      <c r="CQ123" s="277"/>
      <c r="CR123" s="277"/>
      <c r="CS123" s="278"/>
    </row>
    <row r="124" spans="12:97" ht="17.399999999999999" customHeight="1" x14ac:dyDescent="0.4">
      <c r="BN124" s="276"/>
      <c r="BO124" s="277"/>
      <c r="BP124" s="277"/>
      <c r="BQ124" s="277"/>
      <c r="BR124" s="277"/>
      <c r="BS124" s="277"/>
      <c r="BT124" s="277"/>
      <c r="BU124" s="277"/>
      <c r="BV124" s="277"/>
      <c r="BW124" s="277"/>
      <c r="BX124" s="277"/>
      <c r="BY124" s="277"/>
      <c r="BZ124" s="277"/>
      <c r="CA124" s="277"/>
      <c r="CB124" s="277"/>
      <c r="CC124" s="277"/>
      <c r="CD124" s="277"/>
      <c r="CE124" s="277"/>
      <c r="CF124" s="277"/>
      <c r="CG124" s="277"/>
      <c r="CH124" s="277"/>
      <c r="CI124" s="277"/>
      <c r="CJ124" s="277"/>
      <c r="CK124" s="277"/>
      <c r="CL124" s="277"/>
      <c r="CM124" s="277"/>
      <c r="CN124" s="277"/>
      <c r="CO124" s="277"/>
      <c r="CP124" s="277"/>
      <c r="CQ124" s="277"/>
      <c r="CR124" s="277"/>
      <c r="CS124" s="278"/>
    </row>
    <row r="125" spans="12:97" ht="17.399999999999999" customHeight="1" x14ac:dyDescent="0.4">
      <c r="BN125" s="276"/>
      <c r="BO125" s="277"/>
      <c r="BP125" s="277"/>
      <c r="BQ125" s="277"/>
      <c r="BR125" s="277"/>
      <c r="BS125" s="277"/>
      <c r="BT125" s="277"/>
      <c r="BU125" s="277"/>
      <c r="BV125" s="277"/>
      <c r="BW125" s="277"/>
      <c r="BX125" s="277"/>
      <c r="BY125" s="277"/>
      <c r="BZ125" s="277"/>
      <c r="CA125" s="277"/>
      <c r="CB125" s="277"/>
      <c r="CC125" s="277"/>
      <c r="CD125" s="277"/>
      <c r="CE125" s="277"/>
      <c r="CF125" s="277"/>
      <c r="CG125" s="277"/>
      <c r="CH125" s="277"/>
      <c r="CI125" s="277"/>
      <c r="CJ125" s="277"/>
      <c r="CK125" s="277"/>
      <c r="CL125" s="277"/>
      <c r="CM125" s="277"/>
      <c r="CN125" s="277"/>
      <c r="CO125" s="277"/>
      <c r="CP125" s="277"/>
      <c r="CQ125" s="277"/>
      <c r="CR125" s="277"/>
      <c r="CS125" s="278"/>
    </row>
    <row r="126" spans="12:97" ht="17.399999999999999" customHeight="1" x14ac:dyDescent="0.4">
      <c r="BN126" s="276"/>
      <c r="BO126" s="277"/>
      <c r="BP126" s="277"/>
      <c r="BQ126" s="277"/>
      <c r="BR126" s="277"/>
      <c r="BS126" s="277"/>
      <c r="BT126" s="277"/>
      <c r="BU126" s="277"/>
      <c r="BV126" s="277"/>
      <c r="BW126" s="277"/>
      <c r="BX126" s="277"/>
      <c r="BY126" s="277"/>
      <c r="BZ126" s="277"/>
      <c r="CA126" s="277"/>
      <c r="CB126" s="277"/>
      <c r="CC126" s="277"/>
      <c r="CD126" s="277"/>
      <c r="CE126" s="277"/>
      <c r="CF126" s="277"/>
      <c r="CG126" s="277"/>
      <c r="CH126" s="277"/>
      <c r="CI126" s="277"/>
      <c r="CJ126" s="277"/>
      <c r="CK126" s="277"/>
      <c r="CL126" s="277"/>
      <c r="CM126" s="277"/>
      <c r="CN126" s="277"/>
      <c r="CO126" s="277"/>
      <c r="CP126" s="277"/>
      <c r="CQ126" s="277"/>
      <c r="CR126" s="277"/>
      <c r="CS126" s="278"/>
    </row>
    <row r="127" spans="12:97" ht="17.399999999999999" customHeight="1" x14ac:dyDescent="0.4">
      <c r="BN127" s="276"/>
      <c r="BO127" s="277"/>
      <c r="BP127" s="277"/>
      <c r="BQ127" s="277"/>
      <c r="BR127" s="277"/>
      <c r="BS127" s="277"/>
      <c r="BT127" s="277"/>
      <c r="BU127" s="277"/>
      <c r="BV127" s="277"/>
      <c r="BW127" s="277"/>
      <c r="BX127" s="277"/>
      <c r="BY127" s="277"/>
      <c r="BZ127" s="277"/>
      <c r="CA127" s="277"/>
      <c r="CB127" s="277"/>
      <c r="CC127" s="277"/>
      <c r="CD127" s="277"/>
      <c r="CE127" s="277"/>
      <c r="CF127" s="277"/>
      <c r="CG127" s="277"/>
      <c r="CH127" s="277"/>
      <c r="CI127" s="277"/>
      <c r="CJ127" s="277"/>
      <c r="CK127" s="277"/>
      <c r="CL127" s="277"/>
      <c r="CM127" s="277"/>
      <c r="CN127" s="277"/>
      <c r="CO127" s="277"/>
      <c r="CP127" s="277"/>
      <c r="CQ127" s="277"/>
      <c r="CR127" s="277"/>
      <c r="CS127" s="278"/>
    </row>
    <row r="128" spans="12:97" ht="17.399999999999999" customHeight="1" thickBot="1" x14ac:dyDescent="0.45">
      <c r="BN128" s="276"/>
      <c r="BO128" s="277"/>
      <c r="BP128" s="277"/>
      <c r="BQ128" s="277"/>
      <c r="BR128" s="277"/>
      <c r="BS128" s="277"/>
      <c r="BT128" s="277"/>
      <c r="BU128" s="277"/>
      <c r="BV128" s="277"/>
      <c r="BW128" s="277"/>
      <c r="BX128" s="277"/>
      <c r="BY128" s="277"/>
      <c r="BZ128" s="277"/>
      <c r="CA128" s="277"/>
      <c r="CB128" s="277"/>
      <c r="CC128" s="277"/>
      <c r="CD128" s="277"/>
      <c r="CE128" s="277"/>
      <c r="CF128" s="277"/>
      <c r="CG128" s="277"/>
      <c r="CH128" s="277"/>
      <c r="CI128" s="277"/>
      <c r="CJ128" s="277"/>
      <c r="CK128" s="277"/>
      <c r="CL128" s="277"/>
      <c r="CM128" s="277"/>
      <c r="CN128" s="277"/>
      <c r="CO128" s="277"/>
      <c r="CP128" s="277"/>
      <c r="CQ128" s="277"/>
      <c r="CR128" s="277"/>
      <c r="CS128" s="278"/>
    </row>
    <row r="129" spans="12:97" ht="17.399999999999999" customHeight="1" thickBot="1" x14ac:dyDescent="0.45">
      <c r="O129" s="161" t="s">
        <v>399</v>
      </c>
      <c r="P129" s="216"/>
      <c r="Q129" s="190"/>
      <c r="W129" s="161" t="s">
        <v>393</v>
      </c>
      <c r="X129" s="216"/>
      <c r="Y129" s="190"/>
      <c r="BN129" s="276"/>
      <c r="BO129" s="277"/>
      <c r="BP129" s="277"/>
      <c r="BQ129" s="277"/>
      <c r="BR129" s="277"/>
      <c r="BS129" s="277"/>
      <c r="BT129" s="277"/>
      <c r="BU129" s="277"/>
      <c r="BV129" s="277"/>
      <c r="BW129" s="277"/>
      <c r="BX129" s="277"/>
      <c r="BY129" s="277"/>
      <c r="BZ129" s="277"/>
      <c r="CA129" s="277"/>
      <c r="CB129" s="277"/>
      <c r="CC129" s="277"/>
      <c r="CD129" s="277"/>
      <c r="CE129" s="277"/>
      <c r="CF129" s="277"/>
      <c r="CG129" s="277"/>
      <c r="CH129" s="277"/>
      <c r="CI129" s="277"/>
      <c r="CJ129" s="277"/>
      <c r="CK129" s="277"/>
      <c r="CL129" s="277"/>
      <c r="CM129" s="277"/>
      <c r="CN129" s="277"/>
      <c r="CO129" s="277"/>
      <c r="CP129" s="277"/>
      <c r="CQ129" s="277"/>
      <c r="CR129" s="277"/>
      <c r="CS129" s="278"/>
    </row>
    <row r="130" spans="12:97" ht="17.399999999999999" customHeight="1" x14ac:dyDescent="0.4">
      <c r="L130" s="291" t="s">
        <v>394</v>
      </c>
      <c r="M130" s="292"/>
      <c r="N130" s="293"/>
      <c r="O130" s="97">
        <v>380</v>
      </c>
      <c r="P130" s="153"/>
      <c r="Q130" s="154"/>
      <c r="T130" s="291" t="s">
        <v>403</v>
      </c>
      <c r="U130" s="292"/>
      <c r="V130" s="293"/>
      <c r="W130" s="97">
        <f>O130*O131</f>
        <v>1520</v>
      </c>
      <c r="X130" s="153"/>
      <c r="Y130" s="154"/>
      <c r="BN130" s="276"/>
      <c r="BO130" s="277"/>
      <c r="BP130" s="277"/>
      <c r="BQ130" s="277"/>
      <c r="BR130" s="277"/>
      <c r="BS130" s="277"/>
      <c r="BT130" s="277"/>
      <c r="BU130" s="277"/>
      <c r="BV130" s="277"/>
      <c r="BW130" s="277"/>
      <c r="BX130" s="277"/>
      <c r="BY130" s="277"/>
      <c r="BZ130" s="277"/>
      <c r="CA130" s="277"/>
      <c r="CB130" s="277"/>
      <c r="CC130" s="277"/>
      <c r="CD130" s="277"/>
      <c r="CE130" s="277"/>
      <c r="CF130" s="277"/>
      <c r="CG130" s="277"/>
      <c r="CH130" s="277"/>
      <c r="CI130" s="277"/>
      <c r="CJ130" s="277"/>
      <c r="CK130" s="277"/>
      <c r="CL130" s="277"/>
      <c r="CM130" s="277"/>
      <c r="CN130" s="277"/>
      <c r="CO130" s="277"/>
      <c r="CP130" s="277"/>
      <c r="CQ130" s="277"/>
      <c r="CR130" s="277"/>
      <c r="CS130" s="278"/>
    </row>
    <row r="131" spans="12:97" ht="17.399999999999999" customHeight="1" x14ac:dyDescent="0.4">
      <c r="L131" s="294" t="s">
        <v>395</v>
      </c>
      <c r="M131" s="295"/>
      <c r="N131" s="296"/>
      <c r="O131" s="155">
        <v>4</v>
      </c>
      <c r="P131" s="156"/>
      <c r="Q131" s="157"/>
      <c r="T131" s="294" t="s">
        <v>402</v>
      </c>
      <c r="U131" s="295"/>
      <c r="V131" s="296"/>
      <c r="W131" s="155">
        <f>W130*O132</f>
        <v>39520</v>
      </c>
      <c r="X131" s="156"/>
      <c r="Y131" s="157"/>
      <c r="BN131" s="276"/>
      <c r="BO131" s="277"/>
      <c r="BP131" s="277"/>
      <c r="BQ131" s="277"/>
      <c r="BR131" s="277"/>
      <c r="BS131" s="277"/>
      <c r="BT131" s="277"/>
      <c r="BU131" s="277"/>
      <c r="BV131" s="277"/>
      <c r="BW131" s="277"/>
      <c r="BX131" s="277"/>
      <c r="BY131" s="277"/>
      <c r="BZ131" s="277"/>
      <c r="CA131" s="277"/>
      <c r="CB131" s="277"/>
      <c r="CC131" s="277"/>
      <c r="CD131" s="277"/>
      <c r="CE131" s="277"/>
      <c r="CF131" s="277"/>
      <c r="CG131" s="277"/>
      <c r="CH131" s="277"/>
      <c r="CI131" s="277"/>
      <c r="CJ131" s="277"/>
      <c r="CK131" s="277"/>
      <c r="CL131" s="277"/>
      <c r="CM131" s="277"/>
      <c r="CN131" s="277"/>
      <c r="CO131" s="277"/>
      <c r="CP131" s="277"/>
      <c r="CQ131" s="277"/>
      <c r="CR131" s="277"/>
      <c r="CS131" s="278"/>
    </row>
    <row r="132" spans="12:97" ht="17.399999999999999" customHeight="1" thickBot="1" x14ac:dyDescent="0.45">
      <c r="L132" s="288" t="s">
        <v>396</v>
      </c>
      <c r="M132" s="289"/>
      <c r="N132" s="290"/>
      <c r="O132" s="158">
        <v>26</v>
      </c>
      <c r="P132" s="159"/>
      <c r="Q132" s="160"/>
      <c r="T132" s="288" t="s">
        <v>398</v>
      </c>
      <c r="U132" s="289"/>
      <c r="V132" s="290"/>
      <c r="W132" s="158">
        <f>ROUND(W131/O137,4)</f>
        <v>1257.9617000000001</v>
      </c>
      <c r="X132" s="159"/>
      <c r="Y132" s="160"/>
      <c r="BN132" s="276"/>
      <c r="BO132" s="277"/>
      <c r="BP132" s="277"/>
      <c r="BQ132" s="277"/>
      <c r="BR132" s="277"/>
      <c r="BS132" s="277"/>
      <c r="BT132" s="277"/>
      <c r="BU132" s="277"/>
      <c r="BV132" s="277"/>
      <c r="BW132" s="277"/>
      <c r="BX132" s="277"/>
      <c r="BY132" s="277"/>
      <c r="BZ132" s="277"/>
      <c r="CA132" s="277"/>
      <c r="CB132" s="277"/>
      <c r="CC132" s="277"/>
      <c r="CD132" s="277"/>
      <c r="CE132" s="277"/>
      <c r="CF132" s="277"/>
      <c r="CG132" s="277"/>
      <c r="CH132" s="277"/>
      <c r="CI132" s="277"/>
      <c r="CJ132" s="277"/>
      <c r="CK132" s="277"/>
      <c r="CL132" s="277"/>
      <c r="CM132" s="277"/>
      <c r="CN132" s="277"/>
      <c r="CO132" s="277"/>
      <c r="CP132" s="277"/>
      <c r="CQ132" s="277"/>
      <c r="CR132" s="277"/>
      <c r="CS132" s="278"/>
    </row>
    <row r="133" spans="12:97" ht="17.399999999999999" customHeight="1" x14ac:dyDescent="0.4">
      <c r="BN133" s="276"/>
      <c r="BO133" s="277"/>
      <c r="BP133" s="277"/>
      <c r="BQ133" s="277"/>
      <c r="BR133" s="277"/>
      <c r="BS133" s="277"/>
      <c r="BT133" s="277"/>
      <c r="BU133" s="277"/>
      <c r="BV133" s="277"/>
      <c r="BW133" s="277"/>
      <c r="BX133" s="277"/>
      <c r="BY133" s="277"/>
      <c r="BZ133" s="277"/>
      <c r="CA133" s="277"/>
      <c r="CB133" s="277"/>
      <c r="CC133" s="277"/>
      <c r="CD133" s="277"/>
      <c r="CE133" s="277"/>
      <c r="CF133" s="277"/>
      <c r="CG133" s="277"/>
      <c r="CH133" s="277"/>
      <c r="CI133" s="277"/>
      <c r="CJ133" s="277"/>
      <c r="CK133" s="277"/>
      <c r="CL133" s="277"/>
      <c r="CM133" s="277"/>
      <c r="CN133" s="277"/>
      <c r="CO133" s="277"/>
      <c r="CP133" s="277"/>
      <c r="CQ133" s="277"/>
      <c r="CR133" s="277"/>
      <c r="CS133" s="278"/>
    </row>
    <row r="134" spans="12:97" ht="17.399999999999999" customHeight="1" thickBot="1" x14ac:dyDescent="0.45">
      <c r="BN134" s="276"/>
      <c r="BO134" s="277"/>
      <c r="BP134" s="277"/>
      <c r="BQ134" s="277"/>
      <c r="BR134" s="277"/>
      <c r="BS134" s="277"/>
      <c r="BT134" s="277"/>
      <c r="BU134" s="277"/>
      <c r="BV134" s="277"/>
      <c r="BW134" s="277"/>
      <c r="BX134" s="277"/>
      <c r="BY134" s="277"/>
      <c r="BZ134" s="277"/>
      <c r="CA134" s="277"/>
      <c r="CB134" s="277"/>
      <c r="CC134" s="277"/>
      <c r="CD134" s="277"/>
      <c r="CE134" s="277"/>
      <c r="CF134" s="277"/>
      <c r="CG134" s="277"/>
      <c r="CH134" s="277"/>
      <c r="CI134" s="277"/>
      <c r="CJ134" s="277"/>
      <c r="CK134" s="277"/>
      <c r="CL134" s="277"/>
      <c r="CM134" s="277"/>
      <c r="CN134" s="277"/>
      <c r="CO134" s="277"/>
      <c r="CP134" s="277"/>
      <c r="CQ134" s="277"/>
      <c r="CR134" s="277"/>
      <c r="CS134" s="278"/>
    </row>
    <row r="135" spans="12:97" ht="17.399999999999999" customHeight="1" thickBot="1" x14ac:dyDescent="0.45">
      <c r="O135" s="161" t="s">
        <v>400</v>
      </c>
      <c r="P135" s="216"/>
      <c r="Q135" s="190"/>
      <c r="W135" s="161" t="s">
        <v>443</v>
      </c>
      <c r="X135" s="164"/>
      <c r="Y135" s="310" t="s">
        <v>438</v>
      </c>
      <c r="Z135" s="311"/>
      <c r="AA135" s="312"/>
      <c r="BN135" s="276"/>
      <c r="BO135" s="277"/>
      <c r="BP135" s="277"/>
      <c r="BQ135" s="277"/>
      <c r="BR135" s="277"/>
      <c r="BS135" s="277"/>
      <c r="BT135" s="277"/>
      <c r="BU135" s="277"/>
      <c r="BV135" s="277"/>
      <c r="BW135" s="277"/>
      <c r="BX135" s="277"/>
      <c r="BY135" s="277"/>
      <c r="BZ135" s="277"/>
      <c r="CA135" s="277"/>
      <c r="CB135" s="277"/>
      <c r="CC135" s="277"/>
      <c r="CD135" s="277"/>
      <c r="CE135" s="277"/>
      <c r="CF135" s="277"/>
      <c r="CG135" s="277"/>
      <c r="CH135" s="277"/>
      <c r="CI135" s="277"/>
      <c r="CJ135" s="277"/>
      <c r="CK135" s="277"/>
      <c r="CL135" s="277"/>
      <c r="CM135" s="277"/>
      <c r="CN135" s="277"/>
      <c r="CO135" s="277"/>
      <c r="CP135" s="277"/>
      <c r="CQ135" s="277"/>
      <c r="CR135" s="277"/>
      <c r="CS135" s="278"/>
    </row>
    <row r="136" spans="12:97" ht="17.399999999999999" customHeight="1" x14ac:dyDescent="0.4">
      <c r="L136" s="291" t="s">
        <v>401</v>
      </c>
      <c r="M136" s="306"/>
      <c r="N136" s="307"/>
      <c r="O136" s="153">
        <v>10</v>
      </c>
      <c r="P136" s="153"/>
      <c r="Q136" s="154"/>
      <c r="T136" s="300" t="s">
        <v>439</v>
      </c>
      <c r="U136" s="301"/>
      <c r="V136" s="302"/>
      <c r="W136" s="97">
        <f>AL79-AG79</f>
        <v>36</v>
      </c>
      <c r="X136" s="154"/>
      <c r="Y136" s="97">
        <f>ROUND(W132*W136,0)</f>
        <v>45287</v>
      </c>
      <c r="Z136" s="153"/>
      <c r="AA136" s="154"/>
      <c r="BN136" s="276"/>
      <c r="BO136" s="277"/>
      <c r="BP136" s="277"/>
      <c r="BQ136" s="277"/>
      <c r="BR136" s="277"/>
      <c r="BS136" s="277"/>
      <c r="BT136" s="277"/>
      <c r="BU136" s="277"/>
      <c r="BV136" s="277"/>
      <c r="BW136" s="277"/>
      <c r="BX136" s="277"/>
      <c r="BY136" s="277"/>
      <c r="BZ136" s="277"/>
      <c r="CA136" s="277"/>
      <c r="CB136" s="277"/>
      <c r="CC136" s="277"/>
      <c r="CD136" s="277"/>
      <c r="CE136" s="277"/>
      <c r="CF136" s="277"/>
      <c r="CG136" s="277"/>
      <c r="CH136" s="277"/>
      <c r="CI136" s="277"/>
      <c r="CJ136" s="277"/>
      <c r="CK136" s="277"/>
      <c r="CL136" s="277"/>
      <c r="CM136" s="277"/>
      <c r="CN136" s="277"/>
      <c r="CO136" s="277"/>
      <c r="CP136" s="277"/>
      <c r="CQ136" s="277"/>
      <c r="CR136" s="277"/>
      <c r="CS136" s="278"/>
    </row>
    <row r="137" spans="12:97" ht="17.399999999999999" customHeight="1" thickBot="1" x14ac:dyDescent="0.45">
      <c r="L137" s="288" t="s">
        <v>397</v>
      </c>
      <c r="M137" s="308"/>
      <c r="N137" s="309"/>
      <c r="O137" s="159">
        <f>ROUND(O136*PI(),4)</f>
        <v>31.415900000000001</v>
      </c>
      <c r="P137" s="159"/>
      <c r="Q137" s="160"/>
      <c r="T137" s="303" t="s">
        <v>440</v>
      </c>
      <c r="U137" s="304"/>
      <c r="V137" s="305"/>
      <c r="W137" s="155">
        <f>AG79-AB79</f>
        <v>47</v>
      </c>
      <c r="X137" s="157"/>
      <c r="Y137" s="155">
        <f>ROUND(W132*W137,0)</f>
        <v>59124</v>
      </c>
      <c r="Z137" s="156"/>
      <c r="AA137" s="157"/>
      <c r="BN137" s="276"/>
      <c r="BO137" s="277"/>
      <c r="BP137" s="277"/>
      <c r="BQ137" s="277"/>
      <c r="BR137" s="277"/>
      <c r="BS137" s="277"/>
      <c r="BT137" s="277"/>
      <c r="BU137" s="277"/>
      <c r="BV137" s="277"/>
      <c r="BW137" s="277"/>
      <c r="BX137" s="277"/>
      <c r="BY137" s="277"/>
      <c r="BZ137" s="277"/>
      <c r="CA137" s="277"/>
      <c r="CB137" s="277"/>
      <c r="CC137" s="277"/>
      <c r="CD137" s="277"/>
      <c r="CE137" s="277"/>
      <c r="CF137" s="277"/>
      <c r="CG137" s="277"/>
      <c r="CH137" s="277"/>
      <c r="CI137" s="277"/>
      <c r="CJ137" s="277"/>
      <c r="CK137" s="277"/>
      <c r="CL137" s="277"/>
      <c r="CM137" s="277"/>
      <c r="CN137" s="277"/>
      <c r="CO137" s="277"/>
      <c r="CP137" s="277"/>
      <c r="CQ137" s="277"/>
      <c r="CR137" s="277"/>
      <c r="CS137" s="278"/>
    </row>
    <row r="138" spans="12:97" ht="17.399999999999999" customHeight="1" x14ac:dyDescent="0.4">
      <c r="T138" s="303" t="s">
        <v>441</v>
      </c>
      <c r="U138" s="304"/>
      <c r="V138" s="305"/>
      <c r="W138" s="155">
        <f>AG79-W79</f>
        <v>96</v>
      </c>
      <c r="X138" s="157"/>
      <c r="Y138" s="155">
        <f>ROUND(W132*W138,0)</f>
        <v>120764</v>
      </c>
      <c r="Z138" s="156"/>
      <c r="AA138" s="157"/>
      <c r="BN138" s="276"/>
      <c r="BO138" s="277"/>
      <c r="BP138" s="277"/>
      <c r="BQ138" s="277"/>
      <c r="BR138" s="277"/>
      <c r="BS138" s="277"/>
      <c r="BT138" s="277"/>
      <c r="BU138" s="277"/>
      <c r="BV138" s="277"/>
      <c r="BW138" s="277"/>
      <c r="BX138" s="277"/>
      <c r="BY138" s="277"/>
      <c r="BZ138" s="277"/>
      <c r="CA138" s="277"/>
      <c r="CB138" s="277"/>
      <c r="CC138" s="277"/>
      <c r="CD138" s="277"/>
      <c r="CE138" s="277"/>
      <c r="CF138" s="277"/>
      <c r="CG138" s="277"/>
      <c r="CH138" s="277"/>
      <c r="CI138" s="277"/>
      <c r="CJ138" s="277"/>
      <c r="CK138" s="277"/>
      <c r="CL138" s="277"/>
      <c r="CM138" s="277"/>
      <c r="CN138" s="277"/>
      <c r="CO138" s="277"/>
      <c r="CP138" s="277"/>
      <c r="CQ138" s="277"/>
      <c r="CR138" s="277"/>
      <c r="CS138" s="278"/>
    </row>
    <row r="139" spans="12:97" ht="17.399999999999999" customHeight="1" thickBot="1" x14ac:dyDescent="0.45">
      <c r="T139" s="297" t="s">
        <v>442</v>
      </c>
      <c r="U139" s="298"/>
      <c r="V139" s="299"/>
      <c r="W139" s="158">
        <f>AG79-R79</f>
        <v>143</v>
      </c>
      <c r="X139" s="160"/>
      <c r="Y139" s="158">
        <f>ROUND(W132*W139,0)</f>
        <v>179889</v>
      </c>
      <c r="Z139" s="159"/>
      <c r="AA139" s="160"/>
      <c r="BN139" s="276"/>
      <c r="BO139" s="277"/>
      <c r="BP139" s="277"/>
      <c r="BQ139" s="277"/>
      <c r="BR139" s="277"/>
      <c r="BS139" s="277"/>
      <c r="BT139" s="277"/>
      <c r="BU139" s="277"/>
      <c r="BV139" s="277"/>
      <c r="BW139" s="277"/>
      <c r="BX139" s="277"/>
      <c r="BY139" s="277"/>
      <c r="BZ139" s="277"/>
      <c r="CA139" s="277"/>
      <c r="CB139" s="277"/>
      <c r="CC139" s="277"/>
      <c r="CD139" s="277"/>
      <c r="CE139" s="277"/>
      <c r="CF139" s="277"/>
      <c r="CG139" s="277"/>
      <c r="CH139" s="277"/>
      <c r="CI139" s="277"/>
      <c r="CJ139" s="277"/>
      <c r="CK139" s="277"/>
      <c r="CL139" s="277"/>
      <c r="CM139" s="277"/>
      <c r="CN139" s="277"/>
      <c r="CO139" s="277"/>
      <c r="CP139" s="277"/>
      <c r="CQ139" s="277"/>
      <c r="CR139" s="277"/>
      <c r="CS139" s="278"/>
    </row>
    <row r="140" spans="12:97" ht="17.399999999999999" customHeight="1" x14ac:dyDescent="0.4">
      <c r="T140" s="65"/>
      <c r="U140" s="65"/>
      <c r="V140" s="65"/>
      <c r="W140" s="65"/>
      <c r="X140" s="65"/>
      <c r="Y140" s="65"/>
      <c r="BN140" s="276"/>
      <c r="BO140" s="277"/>
      <c r="BP140" s="277"/>
      <c r="BQ140" s="277"/>
      <c r="BR140" s="277"/>
      <c r="BS140" s="277"/>
      <c r="BT140" s="277"/>
      <c r="BU140" s="277"/>
      <c r="BV140" s="277"/>
      <c r="BW140" s="277"/>
      <c r="BX140" s="277"/>
      <c r="BY140" s="277"/>
      <c r="BZ140" s="277"/>
      <c r="CA140" s="277"/>
      <c r="CB140" s="277"/>
      <c r="CC140" s="277"/>
      <c r="CD140" s="277"/>
      <c r="CE140" s="277"/>
      <c r="CF140" s="277"/>
      <c r="CG140" s="277"/>
      <c r="CH140" s="277"/>
      <c r="CI140" s="277"/>
      <c r="CJ140" s="277"/>
      <c r="CK140" s="277"/>
      <c r="CL140" s="277"/>
      <c r="CM140" s="277"/>
      <c r="CN140" s="277"/>
      <c r="CO140" s="277"/>
      <c r="CP140" s="277"/>
      <c r="CQ140" s="277"/>
      <c r="CR140" s="277"/>
      <c r="CS140" s="278"/>
    </row>
    <row r="141" spans="12:97" ht="17.399999999999999" customHeight="1" x14ac:dyDescent="0.4">
      <c r="BN141" s="276"/>
      <c r="BO141" s="277"/>
      <c r="BP141" s="277"/>
      <c r="BQ141" s="277"/>
      <c r="BR141" s="277"/>
      <c r="BS141" s="277"/>
      <c r="BT141" s="277"/>
      <c r="BU141" s="277"/>
      <c r="BV141" s="277"/>
      <c r="BW141" s="277"/>
      <c r="BX141" s="277"/>
      <c r="BY141" s="277"/>
      <c r="BZ141" s="277"/>
      <c r="CA141" s="277"/>
      <c r="CB141" s="277"/>
      <c r="CC141" s="277"/>
      <c r="CD141" s="277"/>
      <c r="CE141" s="277"/>
      <c r="CF141" s="277"/>
      <c r="CG141" s="277"/>
      <c r="CH141" s="277"/>
      <c r="CI141" s="277"/>
      <c r="CJ141" s="277"/>
      <c r="CK141" s="277"/>
      <c r="CL141" s="277"/>
      <c r="CM141" s="277"/>
      <c r="CN141" s="277"/>
      <c r="CO141" s="277"/>
      <c r="CP141" s="277"/>
      <c r="CQ141" s="277"/>
      <c r="CR141" s="277"/>
      <c r="CS141" s="278"/>
    </row>
    <row r="142" spans="12:97" ht="17.399999999999999" customHeight="1" x14ac:dyDescent="0.4">
      <c r="BN142" s="276"/>
      <c r="BO142" s="277"/>
      <c r="BP142" s="277"/>
      <c r="BQ142" s="277"/>
      <c r="BR142" s="277"/>
      <c r="BS142" s="277"/>
      <c r="BT142" s="277"/>
      <c r="BU142" s="277"/>
      <c r="BV142" s="277"/>
      <c r="BW142" s="277"/>
      <c r="BX142" s="277"/>
      <c r="BY142" s="277"/>
      <c r="BZ142" s="277"/>
      <c r="CA142" s="277"/>
      <c r="CB142" s="277"/>
      <c r="CC142" s="277"/>
      <c r="CD142" s="277"/>
      <c r="CE142" s="277"/>
      <c r="CF142" s="277"/>
      <c r="CG142" s="277"/>
      <c r="CH142" s="277"/>
      <c r="CI142" s="277"/>
      <c r="CJ142" s="277"/>
      <c r="CK142" s="277"/>
      <c r="CL142" s="277"/>
      <c r="CM142" s="277"/>
      <c r="CN142" s="277"/>
      <c r="CO142" s="277"/>
      <c r="CP142" s="277"/>
      <c r="CQ142" s="277"/>
      <c r="CR142" s="277"/>
      <c r="CS142" s="278"/>
    </row>
    <row r="143" spans="12:97" ht="17.399999999999999" customHeight="1" x14ac:dyDescent="0.4">
      <c r="BN143" s="276"/>
      <c r="BO143" s="277"/>
      <c r="BP143" s="277"/>
      <c r="BQ143" s="277"/>
      <c r="BR143" s="277"/>
      <c r="BS143" s="277"/>
      <c r="BT143" s="277"/>
      <c r="BU143" s="277"/>
      <c r="BV143" s="277"/>
      <c r="BW143" s="277"/>
      <c r="BX143" s="277"/>
      <c r="BY143" s="277"/>
      <c r="BZ143" s="277"/>
      <c r="CA143" s="277"/>
      <c r="CB143" s="277"/>
      <c r="CC143" s="277"/>
      <c r="CD143" s="277"/>
      <c r="CE143" s="277"/>
      <c r="CF143" s="277"/>
      <c r="CG143" s="277"/>
      <c r="CH143" s="277"/>
      <c r="CI143" s="277"/>
      <c r="CJ143" s="277"/>
      <c r="CK143" s="277"/>
      <c r="CL143" s="277"/>
      <c r="CM143" s="277"/>
      <c r="CN143" s="277"/>
      <c r="CO143" s="277"/>
      <c r="CP143" s="277"/>
      <c r="CQ143" s="277"/>
      <c r="CR143" s="277"/>
      <c r="CS143" s="278"/>
    </row>
    <row r="144" spans="12:97" ht="17.399999999999999" customHeight="1" x14ac:dyDescent="0.4">
      <c r="BN144" s="276"/>
      <c r="BO144" s="277"/>
      <c r="BP144" s="277"/>
      <c r="BQ144" s="277"/>
      <c r="BR144" s="277"/>
      <c r="BS144" s="277"/>
      <c r="BT144" s="277"/>
      <c r="BU144" s="277"/>
      <c r="BV144" s="277"/>
      <c r="BW144" s="277"/>
      <c r="BX144" s="277"/>
      <c r="BY144" s="277"/>
      <c r="BZ144" s="277"/>
      <c r="CA144" s="277"/>
      <c r="CB144" s="277"/>
      <c r="CC144" s="277"/>
      <c r="CD144" s="277"/>
      <c r="CE144" s="277"/>
      <c r="CF144" s="277"/>
      <c r="CG144" s="277"/>
      <c r="CH144" s="277"/>
      <c r="CI144" s="277"/>
      <c r="CJ144" s="277"/>
      <c r="CK144" s="277"/>
      <c r="CL144" s="277"/>
      <c r="CM144" s="277"/>
      <c r="CN144" s="277"/>
      <c r="CO144" s="277"/>
      <c r="CP144" s="277"/>
      <c r="CQ144" s="277"/>
      <c r="CR144" s="277"/>
      <c r="CS144" s="278"/>
    </row>
    <row r="145" spans="66:97" ht="17.399999999999999" customHeight="1" x14ac:dyDescent="0.4">
      <c r="BN145" s="276"/>
      <c r="BO145" s="277"/>
      <c r="BP145" s="277"/>
      <c r="BQ145" s="277"/>
      <c r="BR145" s="277"/>
      <c r="BS145" s="277"/>
      <c r="BT145" s="277"/>
      <c r="BU145" s="277"/>
      <c r="BV145" s="277"/>
      <c r="BW145" s="277"/>
      <c r="BX145" s="277"/>
      <c r="BY145" s="277"/>
      <c r="BZ145" s="277"/>
      <c r="CA145" s="277"/>
      <c r="CB145" s="277"/>
      <c r="CC145" s="277"/>
      <c r="CD145" s="277"/>
      <c r="CE145" s="277"/>
      <c r="CF145" s="277"/>
      <c r="CG145" s="277"/>
      <c r="CH145" s="277"/>
      <c r="CI145" s="277"/>
      <c r="CJ145" s="277"/>
      <c r="CK145" s="277"/>
      <c r="CL145" s="277"/>
      <c r="CM145" s="277"/>
      <c r="CN145" s="277"/>
      <c r="CO145" s="277"/>
      <c r="CP145" s="277"/>
      <c r="CQ145" s="277"/>
      <c r="CR145" s="277"/>
      <c r="CS145" s="278"/>
    </row>
    <row r="146" spans="66:97" ht="17.399999999999999" customHeight="1" x14ac:dyDescent="0.4">
      <c r="BN146" s="276"/>
      <c r="BO146" s="277"/>
      <c r="BP146" s="277"/>
      <c r="BQ146" s="277"/>
      <c r="BR146" s="277"/>
      <c r="BS146" s="277"/>
      <c r="BT146" s="277"/>
      <c r="BU146" s="277"/>
      <c r="BV146" s="277"/>
      <c r="BW146" s="277"/>
      <c r="BX146" s="277"/>
      <c r="BY146" s="277"/>
      <c r="BZ146" s="277"/>
      <c r="CA146" s="277"/>
      <c r="CB146" s="277"/>
      <c r="CC146" s="277"/>
      <c r="CD146" s="277"/>
      <c r="CE146" s="277"/>
      <c r="CF146" s="277"/>
      <c r="CG146" s="277"/>
      <c r="CH146" s="277"/>
      <c r="CI146" s="277"/>
      <c r="CJ146" s="277"/>
      <c r="CK146" s="277"/>
      <c r="CL146" s="277"/>
      <c r="CM146" s="277"/>
      <c r="CN146" s="277"/>
      <c r="CO146" s="277"/>
      <c r="CP146" s="277"/>
      <c r="CQ146" s="277"/>
      <c r="CR146" s="277"/>
      <c r="CS146" s="278"/>
    </row>
    <row r="147" spans="66:97" ht="17.399999999999999" customHeight="1" x14ac:dyDescent="0.4">
      <c r="BN147" s="276"/>
      <c r="BO147" s="277"/>
      <c r="BP147" s="277"/>
      <c r="BQ147" s="277"/>
      <c r="BR147" s="277"/>
      <c r="BS147" s="277"/>
      <c r="BT147" s="277"/>
      <c r="BU147" s="277"/>
      <c r="BV147" s="277"/>
      <c r="BW147" s="277"/>
      <c r="BX147" s="277"/>
      <c r="BY147" s="277"/>
      <c r="BZ147" s="277"/>
      <c r="CA147" s="277"/>
      <c r="CB147" s="277"/>
      <c r="CC147" s="277"/>
      <c r="CD147" s="277"/>
      <c r="CE147" s="277"/>
      <c r="CF147" s="277"/>
      <c r="CG147" s="277"/>
      <c r="CH147" s="277"/>
      <c r="CI147" s="277"/>
      <c r="CJ147" s="277"/>
      <c r="CK147" s="277"/>
      <c r="CL147" s="277"/>
      <c r="CM147" s="277"/>
      <c r="CN147" s="277"/>
      <c r="CO147" s="277"/>
      <c r="CP147" s="277"/>
      <c r="CQ147" s="277"/>
      <c r="CR147" s="277"/>
      <c r="CS147" s="278"/>
    </row>
    <row r="148" spans="66:97" ht="17.399999999999999" customHeight="1" x14ac:dyDescent="0.4">
      <c r="BN148" s="276"/>
      <c r="BO148" s="277"/>
      <c r="BP148" s="277"/>
      <c r="BQ148" s="277"/>
      <c r="BR148" s="277"/>
      <c r="BS148" s="277"/>
      <c r="BT148" s="277"/>
      <c r="BU148" s="277"/>
      <c r="BV148" s="277"/>
      <c r="BW148" s="277"/>
      <c r="BX148" s="277"/>
      <c r="BY148" s="277"/>
      <c r="BZ148" s="277"/>
      <c r="CA148" s="277"/>
      <c r="CB148" s="277"/>
      <c r="CC148" s="277"/>
      <c r="CD148" s="277"/>
      <c r="CE148" s="277"/>
      <c r="CF148" s="277"/>
      <c r="CG148" s="277"/>
      <c r="CH148" s="277"/>
      <c r="CI148" s="277"/>
      <c r="CJ148" s="277"/>
      <c r="CK148" s="277"/>
      <c r="CL148" s="277"/>
      <c r="CM148" s="277"/>
      <c r="CN148" s="277"/>
      <c r="CO148" s="277"/>
      <c r="CP148" s="277"/>
      <c r="CQ148" s="277"/>
      <c r="CR148" s="277"/>
      <c r="CS148" s="278"/>
    </row>
    <row r="149" spans="66:97" ht="17.399999999999999" customHeight="1" x14ac:dyDescent="0.4">
      <c r="BN149" s="276"/>
      <c r="BO149" s="277"/>
      <c r="BP149" s="277"/>
      <c r="BQ149" s="277"/>
      <c r="BR149" s="277"/>
      <c r="BS149" s="277"/>
      <c r="BT149" s="277"/>
      <c r="BU149" s="277"/>
      <c r="BV149" s="277"/>
      <c r="BW149" s="277"/>
      <c r="BX149" s="277"/>
      <c r="BY149" s="277"/>
      <c r="BZ149" s="277"/>
      <c r="CA149" s="277"/>
      <c r="CB149" s="277"/>
      <c r="CC149" s="277"/>
      <c r="CD149" s="277"/>
      <c r="CE149" s="277"/>
      <c r="CF149" s="277"/>
      <c r="CG149" s="277"/>
      <c r="CH149" s="277"/>
      <c r="CI149" s="277"/>
      <c r="CJ149" s="277"/>
      <c r="CK149" s="277"/>
      <c r="CL149" s="277"/>
      <c r="CM149" s="277"/>
      <c r="CN149" s="277"/>
      <c r="CO149" s="277"/>
      <c r="CP149" s="277"/>
      <c r="CQ149" s="277"/>
      <c r="CR149" s="277"/>
      <c r="CS149" s="278"/>
    </row>
    <row r="150" spans="66:97" ht="17.399999999999999" customHeight="1" x14ac:dyDescent="0.4">
      <c r="BN150" s="276"/>
      <c r="BO150" s="277"/>
      <c r="BP150" s="277"/>
      <c r="BQ150" s="277"/>
      <c r="BR150" s="277"/>
      <c r="BS150" s="277"/>
      <c r="BT150" s="277"/>
      <c r="BU150" s="277"/>
      <c r="BV150" s="277"/>
      <c r="BW150" s="277"/>
      <c r="BX150" s="277"/>
      <c r="BY150" s="277"/>
      <c r="BZ150" s="277"/>
      <c r="CA150" s="277"/>
      <c r="CB150" s="277"/>
      <c r="CC150" s="277"/>
      <c r="CD150" s="277"/>
      <c r="CE150" s="277"/>
      <c r="CF150" s="277"/>
      <c r="CG150" s="277"/>
      <c r="CH150" s="277"/>
      <c r="CI150" s="277"/>
      <c r="CJ150" s="277"/>
      <c r="CK150" s="277"/>
      <c r="CL150" s="277"/>
      <c r="CM150" s="277"/>
      <c r="CN150" s="277"/>
      <c r="CO150" s="277"/>
      <c r="CP150" s="277"/>
      <c r="CQ150" s="277"/>
      <c r="CR150" s="277"/>
      <c r="CS150" s="278"/>
    </row>
    <row r="151" spans="66:97" ht="17.399999999999999" customHeight="1" x14ac:dyDescent="0.4">
      <c r="BN151" s="276"/>
      <c r="BO151" s="277"/>
      <c r="BP151" s="277"/>
      <c r="BQ151" s="277"/>
      <c r="BR151" s="277"/>
      <c r="BS151" s="277"/>
      <c r="BT151" s="277"/>
      <c r="BU151" s="277"/>
      <c r="BV151" s="277"/>
      <c r="BW151" s="277"/>
      <c r="BX151" s="277"/>
      <c r="BY151" s="277"/>
      <c r="BZ151" s="277"/>
      <c r="CA151" s="277"/>
      <c r="CB151" s="277"/>
      <c r="CC151" s="277"/>
      <c r="CD151" s="277"/>
      <c r="CE151" s="277"/>
      <c r="CF151" s="277"/>
      <c r="CG151" s="277"/>
      <c r="CH151" s="277"/>
      <c r="CI151" s="277"/>
      <c r="CJ151" s="277"/>
      <c r="CK151" s="277"/>
      <c r="CL151" s="277"/>
      <c r="CM151" s="277"/>
      <c r="CN151" s="277"/>
      <c r="CO151" s="277"/>
      <c r="CP151" s="277"/>
      <c r="CQ151" s="277"/>
      <c r="CR151" s="277"/>
      <c r="CS151" s="278"/>
    </row>
    <row r="152" spans="66:97" ht="17.399999999999999" customHeight="1" x14ac:dyDescent="0.4">
      <c r="BN152" s="276"/>
      <c r="BO152" s="277"/>
      <c r="BP152" s="277"/>
      <c r="BQ152" s="277"/>
      <c r="BR152" s="277"/>
      <c r="BS152" s="277"/>
      <c r="BT152" s="277"/>
      <c r="BU152" s="277"/>
      <c r="BV152" s="277"/>
      <c r="BW152" s="277"/>
      <c r="BX152" s="277"/>
      <c r="BY152" s="277"/>
      <c r="BZ152" s="277"/>
      <c r="CA152" s="277"/>
      <c r="CB152" s="277"/>
      <c r="CC152" s="277"/>
      <c r="CD152" s="277"/>
      <c r="CE152" s="277"/>
      <c r="CF152" s="277"/>
      <c r="CG152" s="277"/>
      <c r="CH152" s="277"/>
      <c r="CI152" s="277"/>
      <c r="CJ152" s="277"/>
      <c r="CK152" s="277"/>
      <c r="CL152" s="277"/>
      <c r="CM152" s="277"/>
      <c r="CN152" s="277"/>
      <c r="CO152" s="277"/>
      <c r="CP152" s="277"/>
      <c r="CQ152" s="277"/>
      <c r="CR152" s="277"/>
      <c r="CS152" s="278"/>
    </row>
    <row r="153" spans="66:97" ht="17.399999999999999" customHeight="1" x14ac:dyDescent="0.4">
      <c r="BN153" s="276"/>
      <c r="BO153" s="277"/>
      <c r="BP153" s="277"/>
      <c r="BQ153" s="277"/>
      <c r="BR153" s="277"/>
      <c r="BS153" s="277"/>
      <c r="BT153" s="277"/>
      <c r="BU153" s="277"/>
      <c r="BV153" s="277"/>
      <c r="BW153" s="277"/>
      <c r="BX153" s="277"/>
      <c r="BY153" s="277"/>
      <c r="BZ153" s="277"/>
      <c r="CA153" s="277"/>
      <c r="CB153" s="277"/>
      <c r="CC153" s="277"/>
      <c r="CD153" s="277"/>
      <c r="CE153" s="277"/>
      <c r="CF153" s="277"/>
      <c r="CG153" s="277"/>
      <c r="CH153" s="277"/>
      <c r="CI153" s="277"/>
      <c r="CJ153" s="277"/>
      <c r="CK153" s="277"/>
      <c r="CL153" s="277"/>
      <c r="CM153" s="277"/>
      <c r="CN153" s="277"/>
      <c r="CO153" s="277"/>
      <c r="CP153" s="277"/>
      <c r="CQ153" s="277"/>
      <c r="CR153" s="277"/>
      <c r="CS153" s="278"/>
    </row>
    <row r="154" spans="66:97" ht="17.399999999999999" customHeight="1" x14ac:dyDescent="0.4">
      <c r="BN154" s="276"/>
      <c r="BO154" s="277"/>
      <c r="BP154" s="277"/>
      <c r="BQ154" s="277"/>
      <c r="BR154" s="277"/>
      <c r="BS154" s="277"/>
      <c r="BT154" s="277"/>
      <c r="BU154" s="277"/>
      <c r="BV154" s="277"/>
      <c r="BW154" s="277"/>
      <c r="BX154" s="277"/>
      <c r="BY154" s="277"/>
      <c r="BZ154" s="277"/>
      <c r="CA154" s="277"/>
      <c r="CB154" s="277"/>
      <c r="CC154" s="277"/>
      <c r="CD154" s="277"/>
      <c r="CE154" s="277"/>
      <c r="CF154" s="277"/>
      <c r="CG154" s="277"/>
      <c r="CH154" s="277"/>
      <c r="CI154" s="277"/>
      <c r="CJ154" s="277"/>
      <c r="CK154" s="277"/>
      <c r="CL154" s="277"/>
      <c r="CM154" s="277"/>
      <c r="CN154" s="277"/>
      <c r="CO154" s="277"/>
      <c r="CP154" s="277"/>
      <c r="CQ154" s="277"/>
      <c r="CR154" s="277"/>
      <c r="CS154" s="278"/>
    </row>
    <row r="155" spans="66:97" ht="17.399999999999999" customHeight="1" x14ac:dyDescent="0.4">
      <c r="BN155" s="276"/>
      <c r="BO155" s="277"/>
      <c r="BP155" s="277"/>
      <c r="BQ155" s="277"/>
      <c r="BR155" s="277"/>
      <c r="BS155" s="277"/>
      <c r="BT155" s="277"/>
      <c r="BU155" s="277"/>
      <c r="BV155" s="277"/>
      <c r="BW155" s="277"/>
      <c r="BX155" s="277"/>
      <c r="BY155" s="277"/>
      <c r="BZ155" s="277"/>
      <c r="CA155" s="277"/>
      <c r="CB155" s="277"/>
      <c r="CC155" s="277"/>
      <c r="CD155" s="277"/>
      <c r="CE155" s="277"/>
      <c r="CF155" s="277"/>
      <c r="CG155" s="277"/>
      <c r="CH155" s="277"/>
      <c r="CI155" s="277"/>
      <c r="CJ155" s="277"/>
      <c r="CK155" s="277"/>
      <c r="CL155" s="277"/>
      <c r="CM155" s="277"/>
      <c r="CN155" s="277"/>
      <c r="CO155" s="277"/>
      <c r="CP155" s="277"/>
      <c r="CQ155" s="277"/>
      <c r="CR155" s="277"/>
      <c r="CS155" s="278"/>
    </row>
    <row r="156" spans="66:97" ht="17.399999999999999" customHeight="1" x14ac:dyDescent="0.4">
      <c r="BN156" s="276"/>
      <c r="BO156" s="277"/>
      <c r="BP156" s="277"/>
      <c r="BQ156" s="277"/>
      <c r="BR156" s="277"/>
      <c r="BS156" s="277"/>
      <c r="BT156" s="277"/>
      <c r="BU156" s="277"/>
      <c r="BV156" s="277"/>
      <c r="BW156" s="277"/>
      <c r="BX156" s="277"/>
      <c r="BY156" s="277"/>
      <c r="BZ156" s="277"/>
      <c r="CA156" s="277"/>
      <c r="CB156" s="277"/>
      <c r="CC156" s="277"/>
      <c r="CD156" s="277"/>
      <c r="CE156" s="277"/>
      <c r="CF156" s="277"/>
      <c r="CG156" s="277"/>
      <c r="CH156" s="277"/>
      <c r="CI156" s="277"/>
      <c r="CJ156" s="277"/>
      <c r="CK156" s="277"/>
      <c r="CL156" s="277"/>
      <c r="CM156" s="277"/>
      <c r="CN156" s="277"/>
      <c r="CO156" s="277"/>
      <c r="CP156" s="277"/>
      <c r="CQ156" s="277"/>
      <c r="CR156" s="277"/>
      <c r="CS156" s="278"/>
    </row>
    <row r="157" spans="66:97" ht="17.399999999999999" customHeight="1" thickBot="1" x14ac:dyDescent="0.45">
      <c r="BN157" s="279"/>
      <c r="BO157" s="280"/>
      <c r="BP157" s="280"/>
      <c r="BQ157" s="280"/>
      <c r="BR157" s="280"/>
      <c r="BS157" s="280"/>
      <c r="BT157" s="280"/>
      <c r="BU157" s="280"/>
      <c r="BV157" s="280"/>
      <c r="BW157" s="280"/>
      <c r="BX157" s="280"/>
      <c r="BY157" s="280"/>
      <c r="BZ157" s="280"/>
      <c r="CA157" s="280"/>
      <c r="CB157" s="280"/>
      <c r="CC157" s="280"/>
      <c r="CD157" s="280"/>
      <c r="CE157" s="280"/>
      <c r="CF157" s="280"/>
      <c r="CG157" s="280"/>
      <c r="CH157" s="280"/>
      <c r="CI157" s="280"/>
      <c r="CJ157" s="280"/>
      <c r="CK157" s="280"/>
      <c r="CL157" s="280"/>
      <c r="CM157" s="280"/>
      <c r="CN157" s="280"/>
      <c r="CO157" s="280"/>
      <c r="CP157" s="280"/>
      <c r="CQ157" s="280"/>
      <c r="CR157" s="280"/>
      <c r="CS157" s="281"/>
    </row>
    <row r="158" spans="66:97" ht="17.399999999999999" customHeight="1" x14ac:dyDescent="0.4"/>
    <row r="159" spans="66:97" ht="17.399999999999999" customHeight="1" x14ac:dyDescent="0.4"/>
    <row r="160" spans="66:97" ht="17.399999999999999" customHeight="1" thickBot="1" x14ac:dyDescent="0.45"/>
    <row r="161" spans="66:97" ht="17.399999999999999" customHeight="1" x14ac:dyDescent="0.4">
      <c r="BN161" s="273" t="s">
        <v>437</v>
      </c>
      <c r="BO161" s="274"/>
      <c r="BP161" s="274"/>
      <c r="BQ161" s="274"/>
      <c r="BR161" s="274"/>
      <c r="BS161" s="274"/>
      <c r="BT161" s="274"/>
      <c r="BU161" s="274"/>
      <c r="BV161" s="274"/>
      <c r="BW161" s="274"/>
      <c r="BX161" s="274"/>
      <c r="BY161" s="274"/>
      <c r="BZ161" s="274"/>
      <c r="CA161" s="274"/>
      <c r="CB161" s="274"/>
      <c r="CC161" s="274"/>
      <c r="CD161" s="274"/>
      <c r="CE161" s="274"/>
      <c r="CF161" s="274"/>
      <c r="CG161" s="274"/>
      <c r="CH161" s="274"/>
      <c r="CI161" s="274"/>
      <c r="CJ161" s="274"/>
      <c r="CK161" s="274"/>
      <c r="CL161" s="274"/>
      <c r="CM161" s="274"/>
      <c r="CN161" s="274"/>
      <c r="CO161" s="274"/>
      <c r="CP161" s="274"/>
      <c r="CQ161" s="274"/>
      <c r="CR161" s="274"/>
      <c r="CS161" s="275"/>
    </row>
    <row r="162" spans="66:97" ht="17.399999999999999" customHeight="1" x14ac:dyDescent="0.4">
      <c r="BN162" s="276"/>
      <c r="BO162" s="277"/>
      <c r="BP162" s="277"/>
      <c r="BQ162" s="277"/>
      <c r="BR162" s="277"/>
      <c r="BS162" s="277"/>
      <c r="BT162" s="277"/>
      <c r="BU162" s="277"/>
      <c r="BV162" s="277"/>
      <c r="BW162" s="277"/>
      <c r="BX162" s="277"/>
      <c r="BY162" s="277"/>
      <c r="BZ162" s="277"/>
      <c r="CA162" s="277"/>
      <c r="CB162" s="277"/>
      <c r="CC162" s="277"/>
      <c r="CD162" s="277"/>
      <c r="CE162" s="277"/>
      <c r="CF162" s="277"/>
      <c r="CG162" s="277"/>
      <c r="CH162" s="277"/>
      <c r="CI162" s="277"/>
      <c r="CJ162" s="277"/>
      <c r="CK162" s="277"/>
      <c r="CL162" s="277"/>
      <c r="CM162" s="277"/>
      <c r="CN162" s="277"/>
      <c r="CO162" s="277"/>
      <c r="CP162" s="277"/>
      <c r="CQ162" s="277"/>
      <c r="CR162" s="277"/>
      <c r="CS162" s="278"/>
    </row>
    <row r="163" spans="66:97" ht="17.399999999999999" customHeight="1" x14ac:dyDescent="0.4">
      <c r="BN163" s="276"/>
      <c r="BO163" s="277"/>
      <c r="BP163" s="277"/>
      <c r="BQ163" s="277"/>
      <c r="BR163" s="277"/>
      <c r="BS163" s="277"/>
      <c r="BT163" s="277"/>
      <c r="BU163" s="277"/>
      <c r="BV163" s="277"/>
      <c r="BW163" s="277"/>
      <c r="BX163" s="277"/>
      <c r="BY163" s="277"/>
      <c r="BZ163" s="277"/>
      <c r="CA163" s="277"/>
      <c r="CB163" s="277"/>
      <c r="CC163" s="277"/>
      <c r="CD163" s="277"/>
      <c r="CE163" s="277"/>
      <c r="CF163" s="277"/>
      <c r="CG163" s="277"/>
      <c r="CH163" s="277"/>
      <c r="CI163" s="277"/>
      <c r="CJ163" s="277"/>
      <c r="CK163" s="277"/>
      <c r="CL163" s="277"/>
      <c r="CM163" s="277"/>
      <c r="CN163" s="277"/>
      <c r="CO163" s="277"/>
      <c r="CP163" s="277"/>
      <c r="CQ163" s="277"/>
      <c r="CR163" s="277"/>
      <c r="CS163" s="278"/>
    </row>
    <row r="164" spans="66:97" ht="17.399999999999999" customHeight="1" x14ac:dyDescent="0.4">
      <c r="BN164" s="276"/>
      <c r="BO164" s="277"/>
      <c r="BP164" s="277"/>
      <c r="BQ164" s="277"/>
      <c r="BR164" s="277"/>
      <c r="BS164" s="277"/>
      <c r="BT164" s="277"/>
      <c r="BU164" s="277"/>
      <c r="BV164" s="277"/>
      <c r="BW164" s="277"/>
      <c r="BX164" s="277"/>
      <c r="BY164" s="277"/>
      <c r="BZ164" s="277"/>
      <c r="CA164" s="277"/>
      <c r="CB164" s="277"/>
      <c r="CC164" s="277"/>
      <c r="CD164" s="277"/>
      <c r="CE164" s="277"/>
      <c r="CF164" s="277"/>
      <c r="CG164" s="277"/>
      <c r="CH164" s="277"/>
      <c r="CI164" s="277"/>
      <c r="CJ164" s="277"/>
      <c r="CK164" s="277"/>
      <c r="CL164" s="277"/>
      <c r="CM164" s="277"/>
      <c r="CN164" s="277"/>
      <c r="CO164" s="277"/>
      <c r="CP164" s="277"/>
      <c r="CQ164" s="277"/>
      <c r="CR164" s="277"/>
      <c r="CS164" s="278"/>
    </row>
    <row r="165" spans="66:97" ht="17.399999999999999" customHeight="1" x14ac:dyDescent="0.4">
      <c r="BN165" s="276"/>
      <c r="BO165" s="277"/>
      <c r="BP165" s="277"/>
      <c r="BQ165" s="277"/>
      <c r="BR165" s="277"/>
      <c r="BS165" s="277"/>
      <c r="BT165" s="277"/>
      <c r="BU165" s="277"/>
      <c r="BV165" s="277"/>
      <c r="BW165" s="277"/>
      <c r="BX165" s="277"/>
      <c r="BY165" s="277"/>
      <c r="BZ165" s="277"/>
      <c r="CA165" s="277"/>
      <c r="CB165" s="277"/>
      <c r="CC165" s="277"/>
      <c r="CD165" s="277"/>
      <c r="CE165" s="277"/>
      <c r="CF165" s="277"/>
      <c r="CG165" s="277"/>
      <c r="CH165" s="277"/>
      <c r="CI165" s="277"/>
      <c r="CJ165" s="277"/>
      <c r="CK165" s="277"/>
      <c r="CL165" s="277"/>
      <c r="CM165" s="277"/>
      <c r="CN165" s="277"/>
      <c r="CO165" s="277"/>
      <c r="CP165" s="277"/>
      <c r="CQ165" s="277"/>
      <c r="CR165" s="277"/>
      <c r="CS165" s="278"/>
    </row>
    <row r="166" spans="66:97" ht="17.399999999999999" customHeight="1" x14ac:dyDescent="0.4">
      <c r="BN166" s="276"/>
      <c r="BO166" s="277"/>
      <c r="BP166" s="277"/>
      <c r="BQ166" s="277"/>
      <c r="BR166" s="277"/>
      <c r="BS166" s="277"/>
      <c r="BT166" s="277"/>
      <c r="BU166" s="277"/>
      <c r="BV166" s="277"/>
      <c r="BW166" s="277"/>
      <c r="BX166" s="277"/>
      <c r="BY166" s="277"/>
      <c r="BZ166" s="277"/>
      <c r="CA166" s="277"/>
      <c r="CB166" s="277"/>
      <c r="CC166" s="277"/>
      <c r="CD166" s="277"/>
      <c r="CE166" s="277"/>
      <c r="CF166" s="277"/>
      <c r="CG166" s="277"/>
      <c r="CH166" s="277"/>
      <c r="CI166" s="277"/>
      <c r="CJ166" s="277"/>
      <c r="CK166" s="277"/>
      <c r="CL166" s="277"/>
      <c r="CM166" s="277"/>
      <c r="CN166" s="277"/>
      <c r="CO166" s="277"/>
      <c r="CP166" s="277"/>
      <c r="CQ166" s="277"/>
      <c r="CR166" s="277"/>
      <c r="CS166" s="278"/>
    </row>
    <row r="167" spans="66:97" ht="17.399999999999999" customHeight="1" x14ac:dyDescent="0.4">
      <c r="BN167" s="276"/>
      <c r="BO167" s="277"/>
      <c r="BP167" s="277"/>
      <c r="BQ167" s="277"/>
      <c r="BR167" s="277"/>
      <c r="BS167" s="277"/>
      <c r="BT167" s="277"/>
      <c r="BU167" s="277"/>
      <c r="BV167" s="277"/>
      <c r="BW167" s="277"/>
      <c r="BX167" s="277"/>
      <c r="BY167" s="277"/>
      <c r="BZ167" s="277"/>
      <c r="CA167" s="277"/>
      <c r="CB167" s="277"/>
      <c r="CC167" s="277"/>
      <c r="CD167" s="277"/>
      <c r="CE167" s="277"/>
      <c r="CF167" s="277"/>
      <c r="CG167" s="277"/>
      <c r="CH167" s="277"/>
      <c r="CI167" s="277"/>
      <c r="CJ167" s="277"/>
      <c r="CK167" s="277"/>
      <c r="CL167" s="277"/>
      <c r="CM167" s="277"/>
      <c r="CN167" s="277"/>
      <c r="CO167" s="277"/>
      <c r="CP167" s="277"/>
      <c r="CQ167" s="277"/>
      <c r="CR167" s="277"/>
      <c r="CS167" s="278"/>
    </row>
    <row r="168" spans="66:97" ht="17.399999999999999" customHeight="1" x14ac:dyDescent="0.4">
      <c r="BN168" s="276"/>
      <c r="BO168" s="277"/>
      <c r="BP168" s="277"/>
      <c r="BQ168" s="277"/>
      <c r="BR168" s="277"/>
      <c r="BS168" s="277"/>
      <c r="BT168" s="277"/>
      <c r="BU168" s="277"/>
      <c r="BV168" s="277"/>
      <c r="BW168" s="277"/>
      <c r="BX168" s="277"/>
      <c r="BY168" s="277"/>
      <c r="BZ168" s="277"/>
      <c r="CA168" s="277"/>
      <c r="CB168" s="277"/>
      <c r="CC168" s="277"/>
      <c r="CD168" s="277"/>
      <c r="CE168" s="277"/>
      <c r="CF168" s="277"/>
      <c r="CG168" s="277"/>
      <c r="CH168" s="277"/>
      <c r="CI168" s="277"/>
      <c r="CJ168" s="277"/>
      <c r="CK168" s="277"/>
      <c r="CL168" s="277"/>
      <c r="CM168" s="277"/>
      <c r="CN168" s="277"/>
      <c r="CO168" s="277"/>
      <c r="CP168" s="277"/>
      <c r="CQ168" s="277"/>
      <c r="CR168" s="277"/>
      <c r="CS168" s="278"/>
    </row>
    <row r="169" spans="66:97" ht="17.399999999999999" customHeight="1" x14ac:dyDescent="0.4">
      <c r="BN169" s="276"/>
      <c r="BO169" s="277"/>
      <c r="BP169" s="277"/>
      <c r="BQ169" s="277"/>
      <c r="BR169" s="277"/>
      <c r="BS169" s="277"/>
      <c r="BT169" s="277"/>
      <c r="BU169" s="277"/>
      <c r="BV169" s="277"/>
      <c r="BW169" s="277"/>
      <c r="BX169" s="277"/>
      <c r="BY169" s="277"/>
      <c r="BZ169" s="277"/>
      <c r="CA169" s="277"/>
      <c r="CB169" s="277"/>
      <c r="CC169" s="277"/>
      <c r="CD169" s="277"/>
      <c r="CE169" s="277"/>
      <c r="CF169" s="277"/>
      <c r="CG169" s="277"/>
      <c r="CH169" s="277"/>
      <c r="CI169" s="277"/>
      <c r="CJ169" s="277"/>
      <c r="CK169" s="277"/>
      <c r="CL169" s="277"/>
      <c r="CM169" s="277"/>
      <c r="CN169" s="277"/>
      <c r="CO169" s="277"/>
      <c r="CP169" s="277"/>
      <c r="CQ169" s="277"/>
      <c r="CR169" s="277"/>
      <c r="CS169" s="278"/>
    </row>
    <row r="170" spans="66:97" ht="17.399999999999999" customHeight="1" x14ac:dyDescent="0.4">
      <c r="BN170" s="276"/>
      <c r="BO170" s="277"/>
      <c r="BP170" s="277"/>
      <c r="BQ170" s="277"/>
      <c r="BR170" s="277"/>
      <c r="BS170" s="277"/>
      <c r="BT170" s="277"/>
      <c r="BU170" s="277"/>
      <c r="BV170" s="277"/>
      <c r="BW170" s="277"/>
      <c r="BX170" s="277"/>
      <c r="BY170" s="277"/>
      <c r="BZ170" s="277"/>
      <c r="CA170" s="277"/>
      <c r="CB170" s="277"/>
      <c r="CC170" s="277"/>
      <c r="CD170" s="277"/>
      <c r="CE170" s="277"/>
      <c r="CF170" s="277"/>
      <c r="CG170" s="277"/>
      <c r="CH170" s="277"/>
      <c r="CI170" s="277"/>
      <c r="CJ170" s="277"/>
      <c r="CK170" s="277"/>
      <c r="CL170" s="277"/>
      <c r="CM170" s="277"/>
      <c r="CN170" s="277"/>
      <c r="CO170" s="277"/>
      <c r="CP170" s="277"/>
      <c r="CQ170" s="277"/>
      <c r="CR170" s="277"/>
      <c r="CS170" s="278"/>
    </row>
    <row r="171" spans="66:97" ht="17.399999999999999" customHeight="1" x14ac:dyDescent="0.4">
      <c r="BN171" s="276"/>
      <c r="BO171" s="277"/>
      <c r="BP171" s="277"/>
      <c r="BQ171" s="277"/>
      <c r="BR171" s="277"/>
      <c r="BS171" s="277"/>
      <c r="BT171" s="277"/>
      <c r="BU171" s="277"/>
      <c r="BV171" s="277"/>
      <c r="BW171" s="277"/>
      <c r="BX171" s="277"/>
      <c r="BY171" s="277"/>
      <c r="BZ171" s="277"/>
      <c r="CA171" s="277"/>
      <c r="CB171" s="277"/>
      <c r="CC171" s="277"/>
      <c r="CD171" s="277"/>
      <c r="CE171" s="277"/>
      <c r="CF171" s="277"/>
      <c r="CG171" s="277"/>
      <c r="CH171" s="277"/>
      <c r="CI171" s="277"/>
      <c r="CJ171" s="277"/>
      <c r="CK171" s="277"/>
      <c r="CL171" s="277"/>
      <c r="CM171" s="277"/>
      <c r="CN171" s="277"/>
      <c r="CO171" s="277"/>
      <c r="CP171" s="277"/>
      <c r="CQ171" s="277"/>
      <c r="CR171" s="277"/>
      <c r="CS171" s="278"/>
    </row>
    <row r="172" spans="66:97" ht="17.399999999999999" customHeight="1" x14ac:dyDescent="0.4">
      <c r="BN172" s="276"/>
      <c r="BO172" s="277"/>
      <c r="BP172" s="277"/>
      <c r="BQ172" s="277"/>
      <c r="BR172" s="277"/>
      <c r="BS172" s="277"/>
      <c r="BT172" s="277"/>
      <c r="BU172" s="277"/>
      <c r="BV172" s="277"/>
      <c r="BW172" s="277"/>
      <c r="BX172" s="277"/>
      <c r="BY172" s="277"/>
      <c r="BZ172" s="277"/>
      <c r="CA172" s="277"/>
      <c r="CB172" s="277"/>
      <c r="CC172" s="277"/>
      <c r="CD172" s="277"/>
      <c r="CE172" s="277"/>
      <c r="CF172" s="277"/>
      <c r="CG172" s="277"/>
      <c r="CH172" s="277"/>
      <c r="CI172" s="277"/>
      <c r="CJ172" s="277"/>
      <c r="CK172" s="277"/>
      <c r="CL172" s="277"/>
      <c r="CM172" s="277"/>
      <c r="CN172" s="277"/>
      <c r="CO172" s="277"/>
      <c r="CP172" s="277"/>
      <c r="CQ172" s="277"/>
      <c r="CR172" s="277"/>
      <c r="CS172" s="278"/>
    </row>
    <row r="173" spans="66:97" ht="17.399999999999999" customHeight="1" x14ac:dyDescent="0.4">
      <c r="BN173" s="276"/>
      <c r="BO173" s="277"/>
      <c r="BP173" s="277"/>
      <c r="BQ173" s="277"/>
      <c r="BR173" s="277"/>
      <c r="BS173" s="277"/>
      <c r="BT173" s="277"/>
      <c r="BU173" s="277"/>
      <c r="BV173" s="277"/>
      <c r="BW173" s="277"/>
      <c r="BX173" s="277"/>
      <c r="BY173" s="277"/>
      <c r="BZ173" s="277"/>
      <c r="CA173" s="277"/>
      <c r="CB173" s="277"/>
      <c r="CC173" s="277"/>
      <c r="CD173" s="277"/>
      <c r="CE173" s="277"/>
      <c r="CF173" s="277"/>
      <c r="CG173" s="277"/>
      <c r="CH173" s="277"/>
      <c r="CI173" s="277"/>
      <c r="CJ173" s="277"/>
      <c r="CK173" s="277"/>
      <c r="CL173" s="277"/>
      <c r="CM173" s="277"/>
      <c r="CN173" s="277"/>
      <c r="CO173" s="277"/>
      <c r="CP173" s="277"/>
      <c r="CQ173" s="277"/>
      <c r="CR173" s="277"/>
      <c r="CS173" s="278"/>
    </row>
    <row r="174" spans="66:97" ht="17.399999999999999" customHeight="1" x14ac:dyDescent="0.4">
      <c r="BN174" s="276"/>
      <c r="BO174" s="277"/>
      <c r="BP174" s="277"/>
      <c r="BQ174" s="277"/>
      <c r="BR174" s="277"/>
      <c r="BS174" s="277"/>
      <c r="BT174" s="277"/>
      <c r="BU174" s="277"/>
      <c r="BV174" s="277"/>
      <c r="BW174" s="277"/>
      <c r="BX174" s="277"/>
      <c r="BY174" s="277"/>
      <c r="BZ174" s="277"/>
      <c r="CA174" s="277"/>
      <c r="CB174" s="277"/>
      <c r="CC174" s="277"/>
      <c r="CD174" s="277"/>
      <c r="CE174" s="277"/>
      <c r="CF174" s="277"/>
      <c r="CG174" s="277"/>
      <c r="CH174" s="277"/>
      <c r="CI174" s="277"/>
      <c r="CJ174" s="277"/>
      <c r="CK174" s="277"/>
      <c r="CL174" s="277"/>
      <c r="CM174" s="277"/>
      <c r="CN174" s="277"/>
      <c r="CO174" s="277"/>
      <c r="CP174" s="277"/>
      <c r="CQ174" s="277"/>
      <c r="CR174" s="277"/>
      <c r="CS174" s="278"/>
    </row>
    <row r="175" spans="66:97" ht="17.399999999999999" customHeight="1" x14ac:dyDescent="0.4">
      <c r="BN175" s="276"/>
      <c r="BO175" s="277"/>
      <c r="BP175" s="277"/>
      <c r="BQ175" s="277"/>
      <c r="BR175" s="277"/>
      <c r="BS175" s="277"/>
      <c r="BT175" s="277"/>
      <c r="BU175" s="277"/>
      <c r="BV175" s="277"/>
      <c r="BW175" s="277"/>
      <c r="BX175" s="277"/>
      <c r="BY175" s="277"/>
      <c r="BZ175" s="277"/>
      <c r="CA175" s="277"/>
      <c r="CB175" s="277"/>
      <c r="CC175" s="277"/>
      <c r="CD175" s="277"/>
      <c r="CE175" s="277"/>
      <c r="CF175" s="277"/>
      <c r="CG175" s="277"/>
      <c r="CH175" s="277"/>
      <c r="CI175" s="277"/>
      <c r="CJ175" s="277"/>
      <c r="CK175" s="277"/>
      <c r="CL175" s="277"/>
      <c r="CM175" s="277"/>
      <c r="CN175" s="277"/>
      <c r="CO175" s="277"/>
      <c r="CP175" s="277"/>
      <c r="CQ175" s="277"/>
      <c r="CR175" s="277"/>
      <c r="CS175" s="278"/>
    </row>
    <row r="176" spans="66:97" ht="17.399999999999999" customHeight="1" x14ac:dyDescent="0.4">
      <c r="BN176" s="276"/>
      <c r="BO176" s="277"/>
      <c r="BP176" s="277"/>
      <c r="BQ176" s="277"/>
      <c r="BR176" s="277"/>
      <c r="BS176" s="277"/>
      <c r="BT176" s="277"/>
      <c r="BU176" s="277"/>
      <c r="BV176" s="277"/>
      <c r="BW176" s="277"/>
      <c r="BX176" s="277"/>
      <c r="BY176" s="277"/>
      <c r="BZ176" s="277"/>
      <c r="CA176" s="277"/>
      <c r="CB176" s="277"/>
      <c r="CC176" s="277"/>
      <c r="CD176" s="277"/>
      <c r="CE176" s="277"/>
      <c r="CF176" s="277"/>
      <c r="CG176" s="277"/>
      <c r="CH176" s="277"/>
      <c r="CI176" s="277"/>
      <c r="CJ176" s="277"/>
      <c r="CK176" s="277"/>
      <c r="CL176" s="277"/>
      <c r="CM176" s="277"/>
      <c r="CN176" s="277"/>
      <c r="CO176" s="277"/>
      <c r="CP176" s="277"/>
      <c r="CQ176" s="277"/>
      <c r="CR176" s="277"/>
      <c r="CS176" s="278"/>
    </row>
    <row r="177" spans="66:97" ht="17.399999999999999" customHeight="1" x14ac:dyDescent="0.4">
      <c r="BN177" s="276"/>
      <c r="BO177" s="277"/>
      <c r="BP177" s="277"/>
      <c r="BQ177" s="277"/>
      <c r="BR177" s="277"/>
      <c r="BS177" s="277"/>
      <c r="BT177" s="277"/>
      <c r="BU177" s="277"/>
      <c r="BV177" s="277"/>
      <c r="BW177" s="277"/>
      <c r="BX177" s="277"/>
      <c r="BY177" s="277"/>
      <c r="BZ177" s="277"/>
      <c r="CA177" s="277"/>
      <c r="CB177" s="277"/>
      <c r="CC177" s="277"/>
      <c r="CD177" s="277"/>
      <c r="CE177" s="277"/>
      <c r="CF177" s="277"/>
      <c r="CG177" s="277"/>
      <c r="CH177" s="277"/>
      <c r="CI177" s="277"/>
      <c r="CJ177" s="277"/>
      <c r="CK177" s="277"/>
      <c r="CL177" s="277"/>
      <c r="CM177" s="277"/>
      <c r="CN177" s="277"/>
      <c r="CO177" s="277"/>
      <c r="CP177" s="277"/>
      <c r="CQ177" s="277"/>
      <c r="CR177" s="277"/>
      <c r="CS177" s="278"/>
    </row>
    <row r="178" spans="66:97" ht="17.399999999999999" customHeight="1" x14ac:dyDescent="0.4">
      <c r="BN178" s="276"/>
      <c r="BO178" s="277"/>
      <c r="BP178" s="277"/>
      <c r="BQ178" s="277"/>
      <c r="BR178" s="277"/>
      <c r="BS178" s="277"/>
      <c r="BT178" s="277"/>
      <c r="BU178" s="277"/>
      <c r="BV178" s="277"/>
      <c r="BW178" s="277"/>
      <c r="BX178" s="277"/>
      <c r="BY178" s="277"/>
      <c r="BZ178" s="277"/>
      <c r="CA178" s="277"/>
      <c r="CB178" s="277"/>
      <c r="CC178" s="277"/>
      <c r="CD178" s="277"/>
      <c r="CE178" s="277"/>
      <c r="CF178" s="277"/>
      <c r="CG178" s="277"/>
      <c r="CH178" s="277"/>
      <c r="CI178" s="277"/>
      <c r="CJ178" s="277"/>
      <c r="CK178" s="277"/>
      <c r="CL178" s="277"/>
      <c r="CM178" s="277"/>
      <c r="CN178" s="277"/>
      <c r="CO178" s="277"/>
      <c r="CP178" s="277"/>
      <c r="CQ178" s="277"/>
      <c r="CR178" s="277"/>
      <c r="CS178" s="278"/>
    </row>
    <row r="179" spans="66:97" ht="17.399999999999999" customHeight="1" x14ac:dyDescent="0.4">
      <c r="BN179" s="276"/>
      <c r="BO179" s="277"/>
      <c r="BP179" s="277"/>
      <c r="BQ179" s="277"/>
      <c r="BR179" s="277"/>
      <c r="BS179" s="277"/>
      <c r="BT179" s="277"/>
      <c r="BU179" s="277"/>
      <c r="BV179" s="277"/>
      <c r="BW179" s="277"/>
      <c r="BX179" s="277"/>
      <c r="BY179" s="277"/>
      <c r="BZ179" s="277"/>
      <c r="CA179" s="277"/>
      <c r="CB179" s="277"/>
      <c r="CC179" s="277"/>
      <c r="CD179" s="277"/>
      <c r="CE179" s="277"/>
      <c r="CF179" s="277"/>
      <c r="CG179" s="277"/>
      <c r="CH179" s="277"/>
      <c r="CI179" s="277"/>
      <c r="CJ179" s="277"/>
      <c r="CK179" s="277"/>
      <c r="CL179" s="277"/>
      <c r="CM179" s="277"/>
      <c r="CN179" s="277"/>
      <c r="CO179" s="277"/>
      <c r="CP179" s="277"/>
      <c r="CQ179" s="277"/>
      <c r="CR179" s="277"/>
      <c r="CS179" s="278"/>
    </row>
    <row r="180" spans="66:97" ht="17.399999999999999" customHeight="1" x14ac:dyDescent="0.4">
      <c r="BN180" s="276"/>
      <c r="BO180" s="277"/>
      <c r="BP180" s="277"/>
      <c r="BQ180" s="277"/>
      <c r="BR180" s="277"/>
      <c r="BS180" s="277"/>
      <c r="BT180" s="277"/>
      <c r="BU180" s="277"/>
      <c r="BV180" s="277"/>
      <c r="BW180" s="277"/>
      <c r="BX180" s="277"/>
      <c r="BY180" s="277"/>
      <c r="BZ180" s="277"/>
      <c r="CA180" s="277"/>
      <c r="CB180" s="277"/>
      <c r="CC180" s="277"/>
      <c r="CD180" s="277"/>
      <c r="CE180" s="277"/>
      <c r="CF180" s="277"/>
      <c r="CG180" s="277"/>
      <c r="CH180" s="277"/>
      <c r="CI180" s="277"/>
      <c r="CJ180" s="277"/>
      <c r="CK180" s="277"/>
      <c r="CL180" s="277"/>
      <c r="CM180" s="277"/>
      <c r="CN180" s="277"/>
      <c r="CO180" s="277"/>
      <c r="CP180" s="277"/>
      <c r="CQ180" s="277"/>
      <c r="CR180" s="277"/>
      <c r="CS180" s="278"/>
    </row>
    <row r="181" spans="66:97" ht="17.399999999999999" customHeight="1" x14ac:dyDescent="0.4">
      <c r="BN181" s="276"/>
      <c r="BO181" s="277"/>
      <c r="BP181" s="277"/>
      <c r="BQ181" s="277"/>
      <c r="BR181" s="277"/>
      <c r="BS181" s="277"/>
      <c r="BT181" s="277"/>
      <c r="BU181" s="277"/>
      <c r="BV181" s="277"/>
      <c r="BW181" s="277"/>
      <c r="BX181" s="277"/>
      <c r="BY181" s="277"/>
      <c r="BZ181" s="277"/>
      <c r="CA181" s="277"/>
      <c r="CB181" s="277"/>
      <c r="CC181" s="277"/>
      <c r="CD181" s="277"/>
      <c r="CE181" s="277"/>
      <c r="CF181" s="277"/>
      <c r="CG181" s="277"/>
      <c r="CH181" s="277"/>
      <c r="CI181" s="277"/>
      <c r="CJ181" s="277"/>
      <c r="CK181" s="277"/>
      <c r="CL181" s="277"/>
      <c r="CM181" s="277"/>
      <c r="CN181" s="277"/>
      <c r="CO181" s="277"/>
      <c r="CP181" s="277"/>
      <c r="CQ181" s="277"/>
      <c r="CR181" s="277"/>
      <c r="CS181" s="278"/>
    </row>
    <row r="182" spans="66:97" ht="17.399999999999999" customHeight="1" x14ac:dyDescent="0.4">
      <c r="BN182" s="276"/>
      <c r="BO182" s="277"/>
      <c r="BP182" s="277"/>
      <c r="BQ182" s="277"/>
      <c r="BR182" s="277"/>
      <c r="BS182" s="277"/>
      <c r="BT182" s="277"/>
      <c r="BU182" s="277"/>
      <c r="BV182" s="277"/>
      <c r="BW182" s="277"/>
      <c r="BX182" s="277"/>
      <c r="BY182" s="277"/>
      <c r="BZ182" s="277"/>
      <c r="CA182" s="277"/>
      <c r="CB182" s="277"/>
      <c r="CC182" s="277"/>
      <c r="CD182" s="277"/>
      <c r="CE182" s="277"/>
      <c r="CF182" s="277"/>
      <c r="CG182" s="277"/>
      <c r="CH182" s="277"/>
      <c r="CI182" s="277"/>
      <c r="CJ182" s="277"/>
      <c r="CK182" s="277"/>
      <c r="CL182" s="277"/>
      <c r="CM182" s="277"/>
      <c r="CN182" s="277"/>
      <c r="CO182" s="277"/>
      <c r="CP182" s="277"/>
      <c r="CQ182" s="277"/>
      <c r="CR182" s="277"/>
      <c r="CS182" s="278"/>
    </row>
    <row r="183" spans="66:97" ht="17.399999999999999" customHeight="1" x14ac:dyDescent="0.4">
      <c r="BN183" s="276"/>
      <c r="BO183" s="277"/>
      <c r="BP183" s="277"/>
      <c r="BQ183" s="277"/>
      <c r="BR183" s="277"/>
      <c r="BS183" s="277"/>
      <c r="BT183" s="277"/>
      <c r="BU183" s="277"/>
      <c r="BV183" s="277"/>
      <c r="BW183" s="277"/>
      <c r="BX183" s="277"/>
      <c r="BY183" s="277"/>
      <c r="BZ183" s="277"/>
      <c r="CA183" s="277"/>
      <c r="CB183" s="277"/>
      <c r="CC183" s="277"/>
      <c r="CD183" s="277"/>
      <c r="CE183" s="277"/>
      <c r="CF183" s="277"/>
      <c r="CG183" s="277"/>
      <c r="CH183" s="277"/>
      <c r="CI183" s="277"/>
      <c r="CJ183" s="277"/>
      <c r="CK183" s="277"/>
      <c r="CL183" s="277"/>
      <c r="CM183" s="277"/>
      <c r="CN183" s="277"/>
      <c r="CO183" s="277"/>
      <c r="CP183" s="277"/>
      <c r="CQ183" s="277"/>
      <c r="CR183" s="277"/>
      <c r="CS183" s="278"/>
    </row>
    <row r="184" spans="66:97" ht="17.399999999999999" customHeight="1" x14ac:dyDescent="0.4">
      <c r="BN184" s="276"/>
      <c r="BO184" s="277"/>
      <c r="BP184" s="277"/>
      <c r="BQ184" s="277"/>
      <c r="BR184" s="277"/>
      <c r="BS184" s="277"/>
      <c r="BT184" s="277"/>
      <c r="BU184" s="277"/>
      <c r="BV184" s="277"/>
      <c r="BW184" s="277"/>
      <c r="BX184" s="277"/>
      <c r="BY184" s="277"/>
      <c r="BZ184" s="277"/>
      <c r="CA184" s="277"/>
      <c r="CB184" s="277"/>
      <c r="CC184" s="277"/>
      <c r="CD184" s="277"/>
      <c r="CE184" s="277"/>
      <c r="CF184" s="277"/>
      <c r="CG184" s="277"/>
      <c r="CH184" s="277"/>
      <c r="CI184" s="277"/>
      <c r="CJ184" s="277"/>
      <c r="CK184" s="277"/>
      <c r="CL184" s="277"/>
      <c r="CM184" s="277"/>
      <c r="CN184" s="277"/>
      <c r="CO184" s="277"/>
      <c r="CP184" s="277"/>
      <c r="CQ184" s="277"/>
      <c r="CR184" s="277"/>
      <c r="CS184" s="278"/>
    </row>
    <row r="185" spans="66:97" ht="17.399999999999999" customHeight="1" x14ac:dyDescent="0.4">
      <c r="BN185" s="276"/>
      <c r="BO185" s="277"/>
      <c r="BP185" s="277"/>
      <c r="BQ185" s="277"/>
      <c r="BR185" s="277"/>
      <c r="BS185" s="277"/>
      <c r="BT185" s="277"/>
      <c r="BU185" s="277"/>
      <c r="BV185" s="277"/>
      <c r="BW185" s="277"/>
      <c r="BX185" s="277"/>
      <c r="BY185" s="277"/>
      <c r="BZ185" s="277"/>
      <c r="CA185" s="277"/>
      <c r="CB185" s="277"/>
      <c r="CC185" s="277"/>
      <c r="CD185" s="277"/>
      <c r="CE185" s="277"/>
      <c r="CF185" s="277"/>
      <c r="CG185" s="277"/>
      <c r="CH185" s="277"/>
      <c r="CI185" s="277"/>
      <c r="CJ185" s="277"/>
      <c r="CK185" s="277"/>
      <c r="CL185" s="277"/>
      <c r="CM185" s="277"/>
      <c r="CN185" s="277"/>
      <c r="CO185" s="277"/>
      <c r="CP185" s="277"/>
      <c r="CQ185" s="277"/>
      <c r="CR185" s="277"/>
      <c r="CS185" s="278"/>
    </row>
    <row r="186" spans="66:97" ht="17.399999999999999" customHeight="1" x14ac:dyDescent="0.4">
      <c r="BN186" s="276"/>
      <c r="BO186" s="277"/>
      <c r="BP186" s="277"/>
      <c r="BQ186" s="277"/>
      <c r="BR186" s="277"/>
      <c r="BS186" s="277"/>
      <c r="BT186" s="277"/>
      <c r="BU186" s="277"/>
      <c r="BV186" s="277"/>
      <c r="BW186" s="277"/>
      <c r="BX186" s="277"/>
      <c r="BY186" s="277"/>
      <c r="BZ186" s="277"/>
      <c r="CA186" s="277"/>
      <c r="CB186" s="277"/>
      <c r="CC186" s="277"/>
      <c r="CD186" s="277"/>
      <c r="CE186" s="277"/>
      <c r="CF186" s="277"/>
      <c r="CG186" s="277"/>
      <c r="CH186" s="277"/>
      <c r="CI186" s="277"/>
      <c r="CJ186" s="277"/>
      <c r="CK186" s="277"/>
      <c r="CL186" s="277"/>
      <c r="CM186" s="277"/>
      <c r="CN186" s="277"/>
      <c r="CO186" s="277"/>
      <c r="CP186" s="277"/>
      <c r="CQ186" s="277"/>
      <c r="CR186" s="277"/>
      <c r="CS186" s="278"/>
    </row>
    <row r="187" spans="66:97" ht="17.399999999999999" customHeight="1" x14ac:dyDescent="0.4">
      <c r="BN187" s="276"/>
      <c r="BO187" s="277"/>
      <c r="BP187" s="277"/>
      <c r="BQ187" s="277"/>
      <c r="BR187" s="277"/>
      <c r="BS187" s="277"/>
      <c r="BT187" s="277"/>
      <c r="BU187" s="277"/>
      <c r="BV187" s="277"/>
      <c r="BW187" s="277"/>
      <c r="BX187" s="277"/>
      <c r="BY187" s="277"/>
      <c r="BZ187" s="277"/>
      <c r="CA187" s="277"/>
      <c r="CB187" s="277"/>
      <c r="CC187" s="277"/>
      <c r="CD187" s="277"/>
      <c r="CE187" s="277"/>
      <c r="CF187" s="277"/>
      <c r="CG187" s="277"/>
      <c r="CH187" s="277"/>
      <c r="CI187" s="277"/>
      <c r="CJ187" s="277"/>
      <c r="CK187" s="277"/>
      <c r="CL187" s="277"/>
      <c r="CM187" s="277"/>
      <c r="CN187" s="277"/>
      <c r="CO187" s="277"/>
      <c r="CP187" s="277"/>
      <c r="CQ187" s="277"/>
      <c r="CR187" s="277"/>
      <c r="CS187" s="278"/>
    </row>
    <row r="188" spans="66:97" ht="17.399999999999999" customHeight="1" x14ac:dyDescent="0.4">
      <c r="BN188" s="276"/>
      <c r="BO188" s="277"/>
      <c r="BP188" s="277"/>
      <c r="BQ188" s="277"/>
      <c r="BR188" s="277"/>
      <c r="BS188" s="277"/>
      <c r="BT188" s="277"/>
      <c r="BU188" s="277"/>
      <c r="BV188" s="277"/>
      <c r="BW188" s="277"/>
      <c r="BX188" s="277"/>
      <c r="BY188" s="277"/>
      <c r="BZ188" s="277"/>
      <c r="CA188" s="277"/>
      <c r="CB188" s="277"/>
      <c r="CC188" s="277"/>
      <c r="CD188" s="277"/>
      <c r="CE188" s="277"/>
      <c r="CF188" s="277"/>
      <c r="CG188" s="277"/>
      <c r="CH188" s="277"/>
      <c r="CI188" s="277"/>
      <c r="CJ188" s="277"/>
      <c r="CK188" s="277"/>
      <c r="CL188" s="277"/>
      <c r="CM188" s="277"/>
      <c r="CN188" s="277"/>
      <c r="CO188" s="277"/>
      <c r="CP188" s="277"/>
      <c r="CQ188" s="277"/>
      <c r="CR188" s="277"/>
      <c r="CS188" s="278"/>
    </row>
    <row r="189" spans="66:97" ht="17.399999999999999" customHeight="1" x14ac:dyDescent="0.4">
      <c r="BN189" s="276"/>
      <c r="BO189" s="277"/>
      <c r="BP189" s="277"/>
      <c r="BQ189" s="277"/>
      <c r="BR189" s="277"/>
      <c r="BS189" s="277"/>
      <c r="BT189" s="277"/>
      <c r="BU189" s="277"/>
      <c r="BV189" s="277"/>
      <c r="BW189" s="277"/>
      <c r="BX189" s="277"/>
      <c r="BY189" s="277"/>
      <c r="BZ189" s="277"/>
      <c r="CA189" s="277"/>
      <c r="CB189" s="277"/>
      <c r="CC189" s="277"/>
      <c r="CD189" s="277"/>
      <c r="CE189" s="277"/>
      <c r="CF189" s="277"/>
      <c r="CG189" s="277"/>
      <c r="CH189" s="277"/>
      <c r="CI189" s="277"/>
      <c r="CJ189" s="277"/>
      <c r="CK189" s="277"/>
      <c r="CL189" s="277"/>
      <c r="CM189" s="277"/>
      <c r="CN189" s="277"/>
      <c r="CO189" s="277"/>
      <c r="CP189" s="277"/>
      <c r="CQ189" s="277"/>
      <c r="CR189" s="277"/>
      <c r="CS189" s="278"/>
    </row>
    <row r="190" spans="66:97" ht="17.399999999999999" customHeight="1" x14ac:dyDescent="0.4">
      <c r="BN190" s="276"/>
      <c r="BO190" s="277"/>
      <c r="BP190" s="277"/>
      <c r="BQ190" s="277"/>
      <c r="BR190" s="277"/>
      <c r="BS190" s="277"/>
      <c r="BT190" s="277"/>
      <c r="BU190" s="277"/>
      <c r="BV190" s="277"/>
      <c r="BW190" s="277"/>
      <c r="BX190" s="277"/>
      <c r="BY190" s="277"/>
      <c r="BZ190" s="277"/>
      <c r="CA190" s="277"/>
      <c r="CB190" s="277"/>
      <c r="CC190" s="277"/>
      <c r="CD190" s="277"/>
      <c r="CE190" s="277"/>
      <c r="CF190" s="277"/>
      <c r="CG190" s="277"/>
      <c r="CH190" s="277"/>
      <c r="CI190" s="277"/>
      <c r="CJ190" s="277"/>
      <c r="CK190" s="277"/>
      <c r="CL190" s="277"/>
      <c r="CM190" s="277"/>
      <c r="CN190" s="277"/>
      <c r="CO190" s="277"/>
      <c r="CP190" s="277"/>
      <c r="CQ190" s="277"/>
      <c r="CR190" s="277"/>
      <c r="CS190" s="278"/>
    </row>
    <row r="191" spans="66:97" ht="17.399999999999999" customHeight="1" x14ac:dyDescent="0.4">
      <c r="BN191" s="276"/>
      <c r="BO191" s="277"/>
      <c r="BP191" s="277"/>
      <c r="BQ191" s="277"/>
      <c r="BR191" s="277"/>
      <c r="BS191" s="277"/>
      <c r="BT191" s="277"/>
      <c r="BU191" s="277"/>
      <c r="BV191" s="277"/>
      <c r="BW191" s="277"/>
      <c r="BX191" s="277"/>
      <c r="BY191" s="277"/>
      <c r="BZ191" s="277"/>
      <c r="CA191" s="277"/>
      <c r="CB191" s="277"/>
      <c r="CC191" s="277"/>
      <c r="CD191" s="277"/>
      <c r="CE191" s="277"/>
      <c r="CF191" s="277"/>
      <c r="CG191" s="277"/>
      <c r="CH191" s="277"/>
      <c r="CI191" s="277"/>
      <c r="CJ191" s="277"/>
      <c r="CK191" s="277"/>
      <c r="CL191" s="277"/>
      <c r="CM191" s="277"/>
      <c r="CN191" s="277"/>
      <c r="CO191" s="277"/>
      <c r="CP191" s="277"/>
      <c r="CQ191" s="277"/>
      <c r="CR191" s="277"/>
      <c r="CS191" s="278"/>
    </row>
    <row r="192" spans="66:97" ht="17.399999999999999" customHeight="1" x14ac:dyDescent="0.4">
      <c r="BN192" s="276"/>
      <c r="BO192" s="277"/>
      <c r="BP192" s="277"/>
      <c r="BQ192" s="277"/>
      <c r="BR192" s="277"/>
      <c r="BS192" s="277"/>
      <c r="BT192" s="277"/>
      <c r="BU192" s="277"/>
      <c r="BV192" s="277"/>
      <c r="BW192" s="277"/>
      <c r="BX192" s="277"/>
      <c r="BY192" s="277"/>
      <c r="BZ192" s="277"/>
      <c r="CA192" s="277"/>
      <c r="CB192" s="277"/>
      <c r="CC192" s="277"/>
      <c r="CD192" s="277"/>
      <c r="CE192" s="277"/>
      <c r="CF192" s="277"/>
      <c r="CG192" s="277"/>
      <c r="CH192" s="277"/>
      <c r="CI192" s="277"/>
      <c r="CJ192" s="277"/>
      <c r="CK192" s="277"/>
      <c r="CL192" s="277"/>
      <c r="CM192" s="277"/>
      <c r="CN192" s="277"/>
      <c r="CO192" s="277"/>
      <c r="CP192" s="277"/>
      <c r="CQ192" s="277"/>
      <c r="CR192" s="277"/>
      <c r="CS192" s="278"/>
    </row>
    <row r="193" spans="66:97" ht="17.399999999999999" customHeight="1" x14ac:dyDescent="0.4">
      <c r="BN193" s="276"/>
      <c r="BO193" s="277"/>
      <c r="BP193" s="277"/>
      <c r="BQ193" s="277"/>
      <c r="BR193" s="277"/>
      <c r="BS193" s="277"/>
      <c r="BT193" s="277"/>
      <c r="BU193" s="277"/>
      <c r="BV193" s="277"/>
      <c r="BW193" s="277"/>
      <c r="BX193" s="277"/>
      <c r="BY193" s="277"/>
      <c r="BZ193" s="277"/>
      <c r="CA193" s="277"/>
      <c r="CB193" s="277"/>
      <c r="CC193" s="277"/>
      <c r="CD193" s="277"/>
      <c r="CE193" s="277"/>
      <c r="CF193" s="277"/>
      <c r="CG193" s="277"/>
      <c r="CH193" s="277"/>
      <c r="CI193" s="277"/>
      <c r="CJ193" s="277"/>
      <c r="CK193" s="277"/>
      <c r="CL193" s="277"/>
      <c r="CM193" s="277"/>
      <c r="CN193" s="277"/>
      <c r="CO193" s="277"/>
      <c r="CP193" s="277"/>
      <c r="CQ193" s="277"/>
      <c r="CR193" s="277"/>
      <c r="CS193" s="278"/>
    </row>
    <row r="194" spans="66:97" ht="17.399999999999999" customHeight="1" x14ac:dyDescent="0.4">
      <c r="BN194" s="276"/>
      <c r="BO194" s="277"/>
      <c r="BP194" s="277"/>
      <c r="BQ194" s="277"/>
      <c r="BR194" s="277"/>
      <c r="BS194" s="277"/>
      <c r="BT194" s="277"/>
      <c r="BU194" s="277"/>
      <c r="BV194" s="277"/>
      <c r="BW194" s="277"/>
      <c r="BX194" s="277"/>
      <c r="BY194" s="277"/>
      <c r="BZ194" s="277"/>
      <c r="CA194" s="277"/>
      <c r="CB194" s="277"/>
      <c r="CC194" s="277"/>
      <c r="CD194" s="277"/>
      <c r="CE194" s="277"/>
      <c r="CF194" s="277"/>
      <c r="CG194" s="277"/>
      <c r="CH194" s="277"/>
      <c r="CI194" s="277"/>
      <c r="CJ194" s="277"/>
      <c r="CK194" s="277"/>
      <c r="CL194" s="277"/>
      <c r="CM194" s="277"/>
      <c r="CN194" s="277"/>
      <c r="CO194" s="277"/>
      <c r="CP194" s="277"/>
      <c r="CQ194" s="277"/>
      <c r="CR194" s="277"/>
      <c r="CS194" s="278"/>
    </row>
    <row r="195" spans="66:97" ht="17.399999999999999" customHeight="1" x14ac:dyDescent="0.4">
      <c r="BN195" s="276"/>
      <c r="BO195" s="277"/>
      <c r="BP195" s="277"/>
      <c r="BQ195" s="277"/>
      <c r="BR195" s="277"/>
      <c r="BS195" s="277"/>
      <c r="BT195" s="277"/>
      <c r="BU195" s="277"/>
      <c r="BV195" s="277"/>
      <c r="BW195" s="277"/>
      <c r="BX195" s="277"/>
      <c r="BY195" s="277"/>
      <c r="BZ195" s="277"/>
      <c r="CA195" s="277"/>
      <c r="CB195" s="277"/>
      <c r="CC195" s="277"/>
      <c r="CD195" s="277"/>
      <c r="CE195" s="277"/>
      <c r="CF195" s="277"/>
      <c r="CG195" s="277"/>
      <c r="CH195" s="277"/>
      <c r="CI195" s="277"/>
      <c r="CJ195" s="277"/>
      <c r="CK195" s="277"/>
      <c r="CL195" s="277"/>
      <c r="CM195" s="277"/>
      <c r="CN195" s="277"/>
      <c r="CO195" s="277"/>
      <c r="CP195" s="277"/>
      <c r="CQ195" s="277"/>
      <c r="CR195" s="277"/>
      <c r="CS195" s="278"/>
    </row>
    <row r="196" spans="66:97" ht="17.399999999999999" customHeight="1" thickBot="1" x14ac:dyDescent="0.45">
      <c r="BN196" s="279"/>
      <c r="BO196" s="280"/>
      <c r="BP196" s="280"/>
      <c r="BQ196" s="280"/>
      <c r="BR196" s="280"/>
      <c r="BS196" s="280"/>
      <c r="BT196" s="280"/>
      <c r="BU196" s="280"/>
      <c r="BV196" s="280"/>
      <c r="BW196" s="280"/>
      <c r="BX196" s="280"/>
      <c r="BY196" s="280"/>
      <c r="BZ196" s="280"/>
      <c r="CA196" s="280"/>
      <c r="CB196" s="280"/>
      <c r="CC196" s="280"/>
      <c r="CD196" s="280"/>
      <c r="CE196" s="280"/>
      <c r="CF196" s="280"/>
      <c r="CG196" s="280"/>
      <c r="CH196" s="280"/>
      <c r="CI196" s="280"/>
      <c r="CJ196" s="280"/>
      <c r="CK196" s="280"/>
      <c r="CL196" s="280"/>
      <c r="CM196" s="280"/>
      <c r="CN196" s="280"/>
      <c r="CO196" s="280"/>
      <c r="CP196" s="280"/>
      <c r="CQ196" s="280"/>
      <c r="CR196" s="280"/>
      <c r="CS196" s="281"/>
    </row>
    <row r="197" spans="66:97" ht="17.399999999999999" customHeight="1" x14ac:dyDescent="0.4"/>
    <row r="198" spans="66:97" ht="17.399999999999999" customHeight="1" x14ac:dyDescent="0.4"/>
    <row r="199" spans="66:97" ht="17.399999999999999" customHeight="1" thickBot="1" x14ac:dyDescent="0.45"/>
    <row r="200" spans="66:97" ht="17.399999999999999" customHeight="1" x14ac:dyDescent="0.4">
      <c r="BN200" s="273" t="s">
        <v>437</v>
      </c>
      <c r="BO200" s="274"/>
      <c r="BP200" s="274"/>
      <c r="BQ200" s="274"/>
      <c r="BR200" s="274"/>
      <c r="BS200" s="274"/>
      <c r="BT200" s="274"/>
      <c r="BU200" s="274"/>
      <c r="BV200" s="274"/>
      <c r="BW200" s="274"/>
      <c r="BX200" s="274"/>
      <c r="BY200" s="274"/>
      <c r="BZ200" s="274"/>
      <c r="CA200" s="274"/>
      <c r="CB200" s="274"/>
      <c r="CC200" s="274"/>
      <c r="CD200" s="274"/>
      <c r="CE200" s="274"/>
      <c r="CF200" s="274"/>
      <c r="CG200" s="274"/>
      <c r="CH200" s="274"/>
      <c r="CI200" s="274"/>
      <c r="CJ200" s="274"/>
      <c r="CK200" s="274"/>
      <c r="CL200" s="274"/>
      <c r="CM200" s="274"/>
      <c r="CN200" s="274"/>
      <c r="CO200" s="274"/>
      <c r="CP200" s="274"/>
      <c r="CQ200" s="274"/>
      <c r="CR200" s="274"/>
      <c r="CS200" s="275"/>
    </row>
    <row r="201" spans="66:97" ht="17.399999999999999" customHeight="1" x14ac:dyDescent="0.4">
      <c r="BN201" s="276"/>
      <c r="BO201" s="277"/>
      <c r="BP201" s="277"/>
      <c r="BQ201" s="277"/>
      <c r="BR201" s="277"/>
      <c r="BS201" s="277"/>
      <c r="BT201" s="277"/>
      <c r="BU201" s="277"/>
      <c r="BV201" s="277"/>
      <c r="BW201" s="277"/>
      <c r="BX201" s="277"/>
      <c r="BY201" s="277"/>
      <c r="BZ201" s="277"/>
      <c r="CA201" s="277"/>
      <c r="CB201" s="277"/>
      <c r="CC201" s="277"/>
      <c r="CD201" s="277"/>
      <c r="CE201" s="277"/>
      <c r="CF201" s="277"/>
      <c r="CG201" s="277"/>
      <c r="CH201" s="277"/>
      <c r="CI201" s="277"/>
      <c r="CJ201" s="277"/>
      <c r="CK201" s="277"/>
      <c r="CL201" s="277"/>
      <c r="CM201" s="277"/>
      <c r="CN201" s="277"/>
      <c r="CO201" s="277"/>
      <c r="CP201" s="277"/>
      <c r="CQ201" s="277"/>
      <c r="CR201" s="277"/>
      <c r="CS201" s="278"/>
    </row>
    <row r="202" spans="66:97" ht="17.399999999999999" customHeight="1" x14ac:dyDescent="0.4">
      <c r="BN202" s="276"/>
      <c r="BO202" s="277"/>
      <c r="BP202" s="277"/>
      <c r="BQ202" s="277"/>
      <c r="BR202" s="277"/>
      <c r="BS202" s="277"/>
      <c r="BT202" s="277"/>
      <c r="BU202" s="277"/>
      <c r="BV202" s="277"/>
      <c r="BW202" s="277"/>
      <c r="BX202" s="277"/>
      <c r="BY202" s="277"/>
      <c r="BZ202" s="277"/>
      <c r="CA202" s="277"/>
      <c r="CB202" s="277"/>
      <c r="CC202" s="277"/>
      <c r="CD202" s="277"/>
      <c r="CE202" s="277"/>
      <c r="CF202" s="277"/>
      <c r="CG202" s="277"/>
      <c r="CH202" s="277"/>
      <c r="CI202" s="277"/>
      <c r="CJ202" s="277"/>
      <c r="CK202" s="277"/>
      <c r="CL202" s="277"/>
      <c r="CM202" s="277"/>
      <c r="CN202" s="277"/>
      <c r="CO202" s="277"/>
      <c r="CP202" s="277"/>
      <c r="CQ202" s="277"/>
      <c r="CR202" s="277"/>
      <c r="CS202" s="278"/>
    </row>
    <row r="203" spans="66:97" ht="17.399999999999999" customHeight="1" x14ac:dyDescent="0.4">
      <c r="BN203" s="276"/>
      <c r="BO203" s="277"/>
      <c r="BP203" s="277"/>
      <c r="BQ203" s="277"/>
      <c r="BR203" s="277"/>
      <c r="BS203" s="277"/>
      <c r="BT203" s="277"/>
      <c r="BU203" s="277"/>
      <c r="BV203" s="277"/>
      <c r="BW203" s="277"/>
      <c r="BX203" s="277"/>
      <c r="BY203" s="277"/>
      <c r="BZ203" s="277"/>
      <c r="CA203" s="277"/>
      <c r="CB203" s="277"/>
      <c r="CC203" s="277"/>
      <c r="CD203" s="277"/>
      <c r="CE203" s="277"/>
      <c r="CF203" s="277"/>
      <c r="CG203" s="277"/>
      <c r="CH203" s="277"/>
      <c r="CI203" s="277"/>
      <c r="CJ203" s="277"/>
      <c r="CK203" s="277"/>
      <c r="CL203" s="277"/>
      <c r="CM203" s="277"/>
      <c r="CN203" s="277"/>
      <c r="CO203" s="277"/>
      <c r="CP203" s="277"/>
      <c r="CQ203" s="277"/>
      <c r="CR203" s="277"/>
      <c r="CS203" s="278"/>
    </row>
    <row r="204" spans="66:97" ht="17.399999999999999" customHeight="1" x14ac:dyDescent="0.4">
      <c r="BN204" s="276"/>
      <c r="BO204" s="277"/>
      <c r="BP204" s="277"/>
      <c r="BQ204" s="277"/>
      <c r="BR204" s="277"/>
      <c r="BS204" s="277"/>
      <c r="BT204" s="277"/>
      <c r="BU204" s="277"/>
      <c r="BV204" s="277"/>
      <c r="BW204" s="277"/>
      <c r="BX204" s="277"/>
      <c r="BY204" s="277"/>
      <c r="BZ204" s="277"/>
      <c r="CA204" s="277"/>
      <c r="CB204" s="277"/>
      <c r="CC204" s="277"/>
      <c r="CD204" s="277"/>
      <c r="CE204" s="277"/>
      <c r="CF204" s="277"/>
      <c r="CG204" s="277"/>
      <c r="CH204" s="277"/>
      <c r="CI204" s="277"/>
      <c r="CJ204" s="277"/>
      <c r="CK204" s="277"/>
      <c r="CL204" s="277"/>
      <c r="CM204" s="277"/>
      <c r="CN204" s="277"/>
      <c r="CO204" s="277"/>
      <c r="CP204" s="277"/>
      <c r="CQ204" s="277"/>
      <c r="CR204" s="277"/>
      <c r="CS204" s="278"/>
    </row>
    <row r="205" spans="66:97" ht="17.399999999999999" customHeight="1" x14ac:dyDescent="0.4">
      <c r="BN205" s="276"/>
      <c r="BO205" s="277"/>
      <c r="BP205" s="277"/>
      <c r="BQ205" s="277"/>
      <c r="BR205" s="277"/>
      <c r="BS205" s="277"/>
      <c r="BT205" s="277"/>
      <c r="BU205" s="277"/>
      <c r="BV205" s="277"/>
      <c r="BW205" s="277"/>
      <c r="BX205" s="277"/>
      <c r="BY205" s="277"/>
      <c r="BZ205" s="277"/>
      <c r="CA205" s="277"/>
      <c r="CB205" s="277"/>
      <c r="CC205" s="277"/>
      <c r="CD205" s="277"/>
      <c r="CE205" s="277"/>
      <c r="CF205" s="277"/>
      <c r="CG205" s="277"/>
      <c r="CH205" s="277"/>
      <c r="CI205" s="277"/>
      <c r="CJ205" s="277"/>
      <c r="CK205" s="277"/>
      <c r="CL205" s="277"/>
      <c r="CM205" s="277"/>
      <c r="CN205" s="277"/>
      <c r="CO205" s="277"/>
      <c r="CP205" s="277"/>
      <c r="CQ205" s="277"/>
      <c r="CR205" s="277"/>
      <c r="CS205" s="278"/>
    </row>
    <row r="206" spans="66:97" ht="17.399999999999999" customHeight="1" x14ac:dyDescent="0.4">
      <c r="BN206" s="276"/>
      <c r="BO206" s="277"/>
      <c r="BP206" s="277"/>
      <c r="BQ206" s="277"/>
      <c r="BR206" s="277"/>
      <c r="BS206" s="277"/>
      <c r="BT206" s="277"/>
      <c r="BU206" s="277"/>
      <c r="BV206" s="277"/>
      <c r="BW206" s="277"/>
      <c r="BX206" s="277"/>
      <c r="BY206" s="277"/>
      <c r="BZ206" s="277"/>
      <c r="CA206" s="277"/>
      <c r="CB206" s="277"/>
      <c r="CC206" s="277"/>
      <c r="CD206" s="277"/>
      <c r="CE206" s="277"/>
      <c r="CF206" s="277"/>
      <c r="CG206" s="277"/>
      <c r="CH206" s="277"/>
      <c r="CI206" s="277"/>
      <c r="CJ206" s="277"/>
      <c r="CK206" s="277"/>
      <c r="CL206" s="277"/>
      <c r="CM206" s="277"/>
      <c r="CN206" s="277"/>
      <c r="CO206" s="277"/>
      <c r="CP206" s="277"/>
      <c r="CQ206" s="277"/>
      <c r="CR206" s="277"/>
      <c r="CS206" s="278"/>
    </row>
    <row r="207" spans="66:97" ht="17.399999999999999" customHeight="1" x14ac:dyDescent="0.4">
      <c r="BN207" s="276"/>
      <c r="BO207" s="277"/>
      <c r="BP207" s="277"/>
      <c r="BQ207" s="277"/>
      <c r="BR207" s="277"/>
      <c r="BS207" s="277"/>
      <c r="BT207" s="277"/>
      <c r="BU207" s="277"/>
      <c r="BV207" s="277"/>
      <c r="BW207" s="277"/>
      <c r="BX207" s="277"/>
      <c r="BY207" s="277"/>
      <c r="BZ207" s="277"/>
      <c r="CA207" s="277"/>
      <c r="CB207" s="277"/>
      <c r="CC207" s="277"/>
      <c r="CD207" s="277"/>
      <c r="CE207" s="277"/>
      <c r="CF207" s="277"/>
      <c r="CG207" s="277"/>
      <c r="CH207" s="277"/>
      <c r="CI207" s="277"/>
      <c r="CJ207" s="277"/>
      <c r="CK207" s="277"/>
      <c r="CL207" s="277"/>
      <c r="CM207" s="277"/>
      <c r="CN207" s="277"/>
      <c r="CO207" s="277"/>
      <c r="CP207" s="277"/>
      <c r="CQ207" s="277"/>
      <c r="CR207" s="277"/>
      <c r="CS207" s="278"/>
    </row>
    <row r="208" spans="66:97" ht="17.399999999999999" customHeight="1" x14ac:dyDescent="0.4">
      <c r="BN208" s="276"/>
      <c r="BO208" s="277"/>
      <c r="BP208" s="277"/>
      <c r="BQ208" s="277"/>
      <c r="BR208" s="277"/>
      <c r="BS208" s="277"/>
      <c r="BT208" s="277"/>
      <c r="BU208" s="277"/>
      <c r="BV208" s="277"/>
      <c r="BW208" s="277"/>
      <c r="BX208" s="277"/>
      <c r="BY208" s="277"/>
      <c r="BZ208" s="277"/>
      <c r="CA208" s="277"/>
      <c r="CB208" s="277"/>
      <c r="CC208" s="277"/>
      <c r="CD208" s="277"/>
      <c r="CE208" s="277"/>
      <c r="CF208" s="277"/>
      <c r="CG208" s="277"/>
      <c r="CH208" s="277"/>
      <c r="CI208" s="277"/>
      <c r="CJ208" s="277"/>
      <c r="CK208" s="277"/>
      <c r="CL208" s="277"/>
      <c r="CM208" s="277"/>
      <c r="CN208" s="277"/>
      <c r="CO208" s="277"/>
      <c r="CP208" s="277"/>
      <c r="CQ208" s="277"/>
      <c r="CR208" s="277"/>
      <c r="CS208" s="278"/>
    </row>
    <row r="209" spans="66:97" ht="17.399999999999999" customHeight="1" x14ac:dyDescent="0.4">
      <c r="BN209" s="276"/>
      <c r="BO209" s="277"/>
      <c r="BP209" s="277"/>
      <c r="BQ209" s="277"/>
      <c r="BR209" s="277"/>
      <c r="BS209" s="277"/>
      <c r="BT209" s="277"/>
      <c r="BU209" s="277"/>
      <c r="BV209" s="277"/>
      <c r="BW209" s="277"/>
      <c r="BX209" s="277"/>
      <c r="BY209" s="277"/>
      <c r="BZ209" s="277"/>
      <c r="CA209" s="277"/>
      <c r="CB209" s="277"/>
      <c r="CC209" s="277"/>
      <c r="CD209" s="277"/>
      <c r="CE209" s="277"/>
      <c r="CF209" s="277"/>
      <c r="CG209" s="277"/>
      <c r="CH209" s="277"/>
      <c r="CI209" s="277"/>
      <c r="CJ209" s="277"/>
      <c r="CK209" s="277"/>
      <c r="CL209" s="277"/>
      <c r="CM209" s="277"/>
      <c r="CN209" s="277"/>
      <c r="CO209" s="277"/>
      <c r="CP209" s="277"/>
      <c r="CQ209" s="277"/>
      <c r="CR209" s="277"/>
      <c r="CS209" s="278"/>
    </row>
    <row r="210" spans="66:97" ht="17.399999999999999" customHeight="1" x14ac:dyDescent="0.4">
      <c r="BN210" s="276"/>
      <c r="BO210" s="277"/>
      <c r="BP210" s="277"/>
      <c r="BQ210" s="277"/>
      <c r="BR210" s="277"/>
      <c r="BS210" s="277"/>
      <c r="BT210" s="277"/>
      <c r="BU210" s="277"/>
      <c r="BV210" s="277"/>
      <c r="BW210" s="277"/>
      <c r="BX210" s="277"/>
      <c r="BY210" s="277"/>
      <c r="BZ210" s="277"/>
      <c r="CA210" s="277"/>
      <c r="CB210" s="277"/>
      <c r="CC210" s="277"/>
      <c r="CD210" s="277"/>
      <c r="CE210" s="277"/>
      <c r="CF210" s="277"/>
      <c r="CG210" s="277"/>
      <c r="CH210" s="277"/>
      <c r="CI210" s="277"/>
      <c r="CJ210" s="277"/>
      <c r="CK210" s="277"/>
      <c r="CL210" s="277"/>
      <c r="CM210" s="277"/>
      <c r="CN210" s="277"/>
      <c r="CO210" s="277"/>
      <c r="CP210" s="277"/>
      <c r="CQ210" s="277"/>
      <c r="CR210" s="277"/>
      <c r="CS210" s="278"/>
    </row>
    <row r="211" spans="66:97" ht="17.399999999999999" customHeight="1" x14ac:dyDescent="0.4">
      <c r="BN211" s="276"/>
      <c r="BO211" s="277"/>
      <c r="BP211" s="277"/>
      <c r="BQ211" s="277"/>
      <c r="BR211" s="277"/>
      <c r="BS211" s="277"/>
      <c r="BT211" s="277"/>
      <c r="BU211" s="277"/>
      <c r="BV211" s="277"/>
      <c r="BW211" s="277"/>
      <c r="BX211" s="277"/>
      <c r="BY211" s="277"/>
      <c r="BZ211" s="277"/>
      <c r="CA211" s="277"/>
      <c r="CB211" s="277"/>
      <c r="CC211" s="277"/>
      <c r="CD211" s="277"/>
      <c r="CE211" s="277"/>
      <c r="CF211" s="277"/>
      <c r="CG211" s="277"/>
      <c r="CH211" s="277"/>
      <c r="CI211" s="277"/>
      <c r="CJ211" s="277"/>
      <c r="CK211" s="277"/>
      <c r="CL211" s="277"/>
      <c r="CM211" s="277"/>
      <c r="CN211" s="277"/>
      <c r="CO211" s="277"/>
      <c r="CP211" s="277"/>
      <c r="CQ211" s="277"/>
      <c r="CR211" s="277"/>
      <c r="CS211" s="278"/>
    </row>
    <row r="212" spans="66:97" ht="17.399999999999999" customHeight="1" x14ac:dyDescent="0.4">
      <c r="BN212" s="276"/>
      <c r="BO212" s="277"/>
      <c r="BP212" s="277"/>
      <c r="BQ212" s="277"/>
      <c r="BR212" s="277"/>
      <c r="BS212" s="277"/>
      <c r="BT212" s="277"/>
      <c r="BU212" s="277"/>
      <c r="BV212" s="277"/>
      <c r="BW212" s="277"/>
      <c r="BX212" s="277"/>
      <c r="BY212" s="277"/>
      <c r="BZ212" s="277"/>
      <c r="CA212" s="277"/>
      <c r="CB212" s="277"/>
      <c r="CC212" s="277"/>
      <c r="CD212" s="277"/>
      <c r="CE212" s="277"/>
      <c r="CF212" s="277"/>
      <c r="CG212" s="277"/>
      <c r="CH212" s="277"/>
      <c r="CI212" s="277"/>
      <c r="CJ212" s="277"/>
      <c r="CK212" s="277"/>
      <c r="CL212" s="277"/>
      <c r="CM212" s="277"/>
      <c r="CN212" s="277"/>
      <c r="CO212" s="277"/>
      <c r="CP212" s="277"/>
      <c r="CQ212" s="277"/>
      <c r="CR212" s="277"/>
      <c r="CS212" s="278"/>
    </row>
    <row r="213" spans="66:97" ht="17.399999999999999" customHeight="1" x14ac:dyDescent="0.4">
      <c r="BN213" s="276"/>
      <c r="BO213" s="277"/>
      <c r="BP213" s="277"/>
      <c r="BQ213" s="277"/>
      <c r="BR213" s="277"/>
      <c r="BS213" s="277"/>
      <c r="BT213" s="277"/>
      <c r="BU213" s="277"/>
      <c r="BV213" s="277"/>
      <c r="BW213" s="277"/>
      <c r="BX213" s="277"/>
      <c r="BY213" s="277"/>
      <c r="BZ213" s="277"/>
      <c r="CA213" s="277"/>
      <c r="CB213" s="277"/>
      <c r="CC213" s="277"/>
      <c r="CD213" s="277"/>
      <c r="CE213" s="277"/>
      <c r="CF213" s="277"/>
      <c r="CG213" s="277"/>
      <c r="CH213" s="277"/>
      <c r="CI213" s="277"/>
      <c r="CJ213" s="277"/>
      <c r="CK213" s="277"/>
      <c r="CL213" s="277"/>
      <c r="CM213" s="277"/>
      <c r="CN213" s="277"/>
      <c r="CO213" s="277"/>
      <c r="CP213" s="277"/>
      <c r="CQ213" s="277"/>
      <c r="CR213" s="277"/>
      <c r="CS213" s="278"/>
    </row>
    <row r="214" spans="66:97" ht="17.399999999999999" customHeight="1" x14ac:dyDescent="0.4">
      <c r="BN214" s="276"/>
      <c r="BO214" s="277"/>
      <c r="BP214" s="277"/>
      <c r="BQ214" s="277"/>
      <c r="BR214" s="277"/>
      <c r="BS214" s="277"/>
      <c r="BT214" s="277"/>
      <c r="BU214" s="277"/>
      <c r="BV214" s="277"/>
      <c r="BW214" s="277"/>
      <c r="BX214" s="277"/>
      <c r="BY214" s="277"/>
      <c r="BZ214" s="277"/>
      <c r="CA214" s="277"/>
      <c r="CB214" s="277"/>
      <c r="CC214" s="277"/>
      <c r="CD214" s="277"/>
      <c r="CE214" s="277"/>
      <c r="CF214" s="277"/>
      <c r="CG214" s="277"/>
      <c r="CH214" s="277"/>
      <c r="CI214" s="277"/>
      <c r="CJ214" s="277"/>
      <c r="CK214" s="277"/>
      <c r="CL214" s="277"/>
      <c r="CM214" s="277"/>
      <c r="CN214" s="277"/>
      <c r="CO214" s="277"/>
      <c r="CP214" s="277"/>
      <c r="CQ214" s="277"/>
      <c r="CR214" s="277"/>
      <c r="CS214" s="278"/>
    </row>
    <row r="215" spans="66:97" ht="17.399999999999999" customHeight="1" x14ac:dyDescent="0.4">
      <c r="BN215" s="276"/>
      <c r="BO215" s="277"/>
      <c r="BP215" s="277"/>
      <c r="BQ215" s="277"/>
      <c r="BR215" s="277"/>
      <c r="BS215" s="277"/>
      <c r="BT215" s="277"/>
      <c r="BU215" s="277"/>
      <c r="BV215" s="277"/>
      <c r="BW215" s="277"/>
      <c r="BX215" s="277"/>
      <c r="BY215" s="277"/>
      <c r="BZ215" s="277"/>
      <c r="CA215" s="277"/>
      <c r="CB215" s="277"/>
      <c r="CC215" s="277"/>
      <c r="CD215" s="277"/>
      <c r="CE215" s="277"/>
      <c r="CF215" s="277"/>
      <c r="CG215" s="277"/>
      <c r="CH215" s="277"/>
      <c r="CI215" s="277"/>
      <c r="CJ215" s="277"/>
      <c r="CK215" s="277"/>
      <c r="CL215" s="277"/>
      <c r="CM215" s="277"/>
      <c r="CN215" s="277"/>
      <c r="CO215" s="277"/>
      <c r="CP215" s="277"/>
      <c r="CQ215" s="277"/>
      <c r="CR215" s="277"/>
      <c r="CS215" s="278"/>
    </row>
    <row r="216" spans="66:97" ht="17.399999999999999" customHeight="1" x14ac:dyDescent="0.4">
      <c r="BN216" s="276"/>
      <c r="BO216" s="277"/>
      <c r="BP216" s="277"/>
      <c r="BQ216" s="277"/>
      <c r="BR216" s="277"/>
      <c r="BS216" s="277"/>
      <c r="BT216" s="277"/>
      <c r="BU216" s="277"/>
      <c r="BV216" s="277"/>
      <c r="BW216" s="277"/>
      <c r="BX216" s="277"/>
      <c r="BY216" s="277"/>
      <c r="BZ216" s="277"/>
      <c r="CA216" s="277"/>
      <c r="CB216" s="277"/>
      <c r="CC216" s="277"/>
      <c r="CD216" s="277"/>
      <c r="CE216" s="277"/>
      <c r="CF216" s="277"/>
      <c r="CG216" s="277"/>
      <c r="CH216" s="277"/>
      <c r="CI216" s="277"/>
      <c r="CJ216" s="277"/>
      <c r="CK216" s="277"/>
      <c r="CL216" s="277"/>
      <c r="CM216" s="277"/>
      <c r="CN216" s="277"/>
      <c r="CO216" s="277"/>
      <c r="CP216" s="277"/>
      <c r="CQ216" s="277"/>
      <c r="CR216" s="277"/>
      <c r="CS216" s="278"/>
    </row>
    <row r="217" spans="66:97" ht="17.399999999999999" customHeight="1" x14ac:dyDescent="0.4">
      <c r="BN217" s="276"/>
      <c r="BO217" s="277"/>
      <c r="BP217" s="277"/>
      <c r="BQ217" s="277"/>
      <c r="BR217" s="277"/>
      <c r="BS217" s="277"/>
      <c r="BT217" s="277"/>
      <c r="BU217" s="277"/>
      <c r="BV217" s="277"/>
      <c r="BW217" s="277"/>
      <c r="BX217" s="277"/>
      <c r="BY217" s="277"/>
      <c r="BZ217" s="277"/>
      <c r="CA217" s="277"/>
      <c r="CB217" s="277"/>
      <c r="CC217" s="277"/>
      <c r="CD217" s="277"/>
      <c r="CE217" s="277"/>
      <c r="CF217" s="277"/>
      <c r="CG217" s="277"/>
      <c r="CH217" s="277"/>
      <c r="CI217" s="277"/>
      <c r="CJ217" s="277"/>
      <c r="CK217" s="277"/>
      <c r="CL217" s="277"/>
      <c r="CM217" s="277"/>
      <c r="CN217" s="277"/>
      <c r="CO217" s="277"/>
      <c r="CP217" s="277"/>
      <c r="CQ217" s="277"/>
      <c r="CR217" s="277"/>
      <c r="CS217" s="278"/>
    </row>
    <row r="218" spans="66:97" ht="17.399999999999999" customHeight="1" x14ac:dyDescent="0.4">
      <c r="BN218" s="276"/>
      <c r="BO218" s="277"/>
      <c r="BP218" s="277"/>
      <c r="BQ218" s="277"/>
      <c r="BR218" s="277"/>
      <c r="BS218" s="277"/>
      <c r="BT218" s="277"/>
      <c r="BU218" s="277"/>
      <c r="BV218" s="277"/>
      <c r="BW218" s="277"/>
      <c r="BX218" s="277"/>
      <c r="BY218" s="277"/>
      <c r="BZ218" s="277"/>
      <c r="CA218" s="277"/>
      <c r="CB218" s="277"/>
      <c r="CC218" s="277"/>
      <c r="CD218" s="277"/>
      <c r="CE218" s="277"/>
      <c r="CF218" s="277"/>
      <c r="CG218" s="277"/>
      <c r="CH218" s="277"/>
      <c r="CI218" s="277"/>
      <c r="CJ218" s="277"/>
      <c r="CK218" s="277"/>
      <c r="CL218" s="277"/>
      <c r="CM218" s="277"/>
      <c r="CN218" s="277"/>
      <c r="CO218" s="277"/>
      <c r="CP218" s="277"/>
      <c r="CQ218" s="277"/>
      <c r="CR218" s="277"/>
      <c r="CS218" s="278"/>
    </row>
    <row r="219" spans="66:97" ht="17.399999999999999" customHeight="1" x14ac:dyDescent="0.4">
      <c r="BN219" s="276"/>
      <c r="BO219" s="277"/>
      <c r="BP219" s="277"/>
      <c r="BQ219" s="277"/>
      <c r="BR219" s="277"/>
      <c r="BS219" s="277"/>
      <c r="BT219" s="277"/>
      <c r="BU219" s="277"/>
      <c r="BV219" s="277"/>
      <c r="BW219" s="277"/>
      <c r="BX219" s="277"/>
      <c r="BY219" s="277"/>
      <c r="BZ219" s="277"/>
      <c r="CA219" s="277"/>
      <c r="CB219" s="277"/>
      <c r="CC219" s="277"/>
      <c r="CD219" s="277"/>
      <c r="CE219" s="277"/>
      <c r="CF219" s="277"/>
      <c r="CG219" s="277"/>
      <c r="CH219" s="277"/>
      <c r="CI219" s="277"/>
      <c r="CJ219" s="277"/>
      <c r="CK219" s="277"/>
      <c r="CL219" s="277"/>
      <c r="CM219" s="277"/>
      <c r="CN219" s="277"/>
      <c r="CO219" s="277"/>
      <c r="CP219" s="277"/>
      <c r="CQ219" s="277"/>
      <c r="CR219" s="277"/>
      <c r="CS219" s="278"/>
    </row>
    <row r="220" spans="66:97" ht="17.399999999999999" customHeight="1" x14ac:dyDescent="0.4">
      <c r="BN220" s="276"/>
      <c r="BO220" s="277"/>
      <c r="BP220" s="277"/>
      <c r="BQ220" s="277"/>
      <c r="BR220" s="277"/>
      <c r="BS220" s="277"/>
      <c r="BT220" s="277"/>
      <c r="BU220" s="277"/>
      <c r="BV220" s="277"/>
      <c r="BW220" s="277"/>
      <c r="BX220" s="277"/>
      <c r="BY220" s="277"/>
      <c r="BZ220" s="277"/>
      <c r="CA220" s="277"/>
      <c r="CB220" s="277"/>
      <c r="CC220" s="277"/>
      <c r="CD220" s="277"/>
      <c r="CE220" s="277"/>
      <c r="CF220" s="277"/>
      <c r="CG220" s="277"/>
      <c r="CH220" s="277"/>
      <c r="CI220" s="277"/>
      <c r="CJ220" s="277"/>
      <c r="CK220" s="277"/>
      <c r="CL220" s="277"/>
      <c r="CM220" s="277"/>
      <c r="CN220" s="277"/>
      <c r="CO220" s="277"/>
      <c r="CP220" s="277"/>
      <c r="CQ220" s="277"/>
      <c r="CR220" s="277"/>
      <c r="CS220" s="278"/>
    </row>
    <row r="221" spans="66:97" ht="17.399999999999999" customHeight="1" x14ac:dyDescent="0.4">
      <c r="BN221" s="276"/>
      <c r="BO221" s="277"/>
      <c r="BP221" s="277"/>
      <c r="BQ221" s="277"/>
      <c r="BR221" s="277"/>
      <c r="BS221" s="277"/>
      <c r="BT221" s="277"/>
      <c r="BU221" s="277"/>
      <c r="BV221" s="277"/>
      <c r="BW221" s="277"/>
      <c r="BX221" s="277"/>
      <c r="BY221" s="277"/>
      <c r="BZ221" s="277"/>
      <c r="CA221" s="277"/>
      <c r="CB221" s="277"/>
      <c r="CC221" s="277"/>
      <c r="CD221" s="277"/>
      <c r="CE221" s="277"/>
      <c r="CF221" s="277"/>
      <c r="CG221" s="277"/>
      <c r="CH221" s="277"/>
      <c r="CI221" s="277"/>
      <c r="CJ221" s="277"/>
      <c r="CK221" s="277"/>
      <c r="CL221" s="277"/>
      <c r="CM221" s="277"/>
      <c r="CN221" s="277"/>
      <c r="CO221" s="277"/>
      <c r="CP221" s="277"/>
      <c r="CQ221" s="277"/>
      <c r="CR221" s="277"/>
      <c r="CS221" s="278"/>
    </row>
    <row r="222" spans="66:97" ht="17.399999999999999" customHeight="1" x14ac:dyDescent="0.4">
      <c r="BN222" s="276"/>
      <c r="BO222" s="277"/>
      <c r="BP222" s="277"/>
      <c r="BQ222" s="277"/>
      <c r="BR222" s="277"/>
      <c r="BS222" s="277"/>
      <c r="BT222" s="277"/>
      <c r="BU222" s="277"/>
      <c r="BV222" s="277"/>
      <c r="BW222" s="277"/>
      <c r="BX222" s="277"/>
      <c r="BY222" s="277"/>
      <c r="BZ222" s="277"/>
      <c r="CA222" s="277"/>
      <c r="CB222" s="277"/>
      <c r="CC222" s="277"/>
      <c r="CD222" s="277"/>
      <c r="CE222" s="277"/>
      <c r="CF222" s="277"/>
      <c r="CG222" s="277"/>
      <c r="CH222" s="277"/>
      <c r="CI222" s="277"/>
      <c r="CJ222" s="277"/>
      <c r="CK222" s="277"/>
      <c r="CL222" s="277"/>
      <c r="CM222" s="277"/>
      <c r="CN222" s="277"/>
      <c r="CO222" s="277"/>
      <c r="CP222" s="277"/>
      <c r="CQ222" s="277"/>
      <c r="CR222" s="277"/>
      <c r="CS222" s="278"/>
    </row>
    <row r="223" spans="66:97" ht="17.399999999999999" customHeight="1" x14ac:dyDescent="0.4">
      <c r="BN223" s="276"/>
      <c r="BO223" s="277"/>
      <c r="BP223" s="277"/>
      <c r="BQ223" s="277"/>
      <c r="BR223" s="277"/>
      <c r="BS223" s="277"/>
      <c r="BT223" s="277"/>
      <c r="BU223" s="277"/>
      <c r="BV223" s="277"/>
      <c r="BW223" s="277"/>
      <c r="BX223" s="277"/>
      <c r="BY223" s="277"/>
      <c r="BZ223" s="277"/>
      <c r="CA223" s="277"/>
      <c r="CB223" s="277"/>
      <c r="CC223" s="277"/>
      <c r="CD223" s="277"/>
      <c r="CE223" s="277"/>
      <c r="CF223" s="277"/>
      <c r="CG223" s="277"/>
      <c r="CH223" s="277"/>
      <c r="CI223" s="277"/>
      <c r="CJ223" s="277"/>
      <c r="CK223" s="277"/>
      <c r="CL223" s="277"/>
      <c r="CM223" s="277"/>
      <c r="CN223" s="277"/>
      <c r="CO223" s="277"/>
      <c r="CP223" s="277"/>
      <c r="CQ223" s="277"/>
      <c r="CR223" s="277"/>
      <c r="CS223" s="278"/>
    </row>
    <row r="224" spans="66:97" ht="17.399999999999999" customHeight="1" x14ac:dyDescent="0.4">
      <c r="BN224" s="276"/>
      <c r="BO224" s="277"/>
      <c r="BP224" s="277"/>
      <c r="BQ224" s="277"/>
      <c r="BR224" s="277"/>
      <c r="BS224" s="277"/>
      <c r="BT224" s="277"/>
      <c r="BU224" s="277"/>
      <c r="BV224" s="277"/>
      <c r="BW224" s="277"/>
      <c r="BX224" s="277"/>
      <c r="BY224" s="277"/>
      <c r="BZ224" s="277"/>
      <c r="CA224" s="277"/>
      <c r="CB224" s="277"/>
      <c r="CC224" s="277"/>
      <c r="CD224" s="277"/>
      <c r="CE224" s="277"/>
      <c r="CF224" s="277"/>
      <c r="CG224" s="277"/>
      <c r="CH224" s="277"/>
      <c r="CI224" s="277"/>
      <c r="CJ224" s="277"/>
      <c r="CK224" s="277"/>
      <c r="CL224" s="277"/>
      <c r="CM224" s="277"/>
      <c r="CN224" s="277"/>
      <c r="CO224" s="277"/>
      <c r="CP224" s="277"/>
      <c r="CQ224" s="277"/>
      <c r="CR224" s="277"/>
      <c r="CS224" s="278"/>
    </row>
    <row r="225" spans="66:97" ht="17.399999999999999" customHeight="1" x14ac:dyDescent="0.4">
      <c r="BN225" s="276"/>
      <c r="BO225" s="277"/>
      <c r="BP225" s="277"/>
      <c r="BQ225" s="277"/>
      <c r="BR225" s="277"/>
      <c r="BS225" s="277"/>
      <c r="BT225" s="277"/>
      <c r="BU225" s="277"/>
      <c r="BV225" s="277"/>
      <c r="BW225" s="277"/>
      <c r="BX225" s="277"/>
      <c r="BY225" s="277"/>
      <c r="BZ225" s="277"/>
      <c r="CA225" s="277"/>
      <c r="CB225" s="277"/>
      <c r="CC225" s="277"/>
      <c r="CD225" s="277"/>
      <c r="CE225" s="277"/>
      <c r="CF225" s="277"/>
      <c r="CG225" s="277"/>
      <c r="CH225" s="277"/>
      <c r="CI225" s="277"/>
      <c r="CJ225" s="277"/>
      <c r="CK225" s="277"/>
      <c r="CL225" s="277"/>
      <c r="CM225" s="277"/>
      <c r="CN225" s="277"/>
      <c r="CO225" s="277"/>
      <c r="CP225" s="277"/>
      <c r="CQ225" s="277"/>
      <c r="CR225" s="277"/>
      <c r="CS225" s="278"/>
    </row>
    <row r="226" spans="66:97" ht="17.399999999999999" customHeight="1" x14ac:dyDescent="0.4">
      <c r="BN226" s="276"/>
      <c r="BO226" s="277"/>
      <c r="BP226" s="277"/>
      <c r="BQ226" s="277"/>
      <c r="BR226" s="277"/>
      <c r="BS226" s="277"/>
      <c r="BT226" s="277"/>
      <c r="BU226" s="277"/>
      <c r="BV226" s="277"/>
      <c r="BW226" s="277"/>
      <c r="BX226" s="277"/>
      <c r="BY226" s="277"/>
      <c r="BZ226" s="277"/>
      <c r="CA226" s="277"/>
      <c r="CB226" s="277"/>
      <c r="CC226" s="277"/>
      <c r="CD226" s="277"/>
      <c r="CE226" s="277"/>
      <c r="CF226" s="277"/>
      <c r="CG226" s="277"/>
      <c r="CH226" s="277"/>
      <c r="CI226" s="277"/>
      <c r="CJ226" s="277"/>
      <c r="CK226" s="277"/>
      <c r="CL226" s="277"/>
      <c r="CM226" s="277"/>
      <c r="CN226" s="277"/>
      <c r="CO226" s="277"/>
      <c r="CP226" s="277"/>
      <c r="CQ226" s="277"/>
      <c r="CR226" s="277"/>
      <c r="CS226" s="278"/>
    </row>
    <row r="227" spans="66:97" ht="17.399999999999999" customHeight="1" x14ac:dyDescent="0.4">
      <c r="BN227" s="276"/>
      <c r="BO227" s="277"/>
      <c r="BP227" s="277"/>
      <c r="BQ227" s="277"/>
      <c r="BR227" s="277"/>
      <c r="BS227" s="277"/>
      <c r="BT227" s="277"/>
      <c r="BU227" s="277"/>
      <c r="BV227" s="277"/>
      <c r="BW227" s="277"/>
      <c r="BX227" s="277"/>
      <c r="BY227" s="277"/>
      <c r="BZ227" s="277"/>
      <c r="CA227" s="277"/>
      <c r="CB227" s="277"/>
      <c r="CC227" s="277"/>
      <c r="CD227" s="277"/>
      <c r="CE227" s="277"/>
      <c r="CF227" s="277"/>
      <c r="CG227" s="277"/>
      <c r="CH227" s="277"/>
      <c r="CI227" s="277"/>
      <c r="CJ227" s="277"/>
      <c r="CK227" s="277"/>
      <c r="CL227" s="277"/>
      <c r="CM227" s="277"/>
      <c r="CN227" s="277"/>
      <c r="CO227" s="277"/>
      <c r="CP227" s="277"/>
      <c r="CQ227" s="277"/>
      <c r="CR227" s="277"/>
      <c r="CS227" s="278"/>
    </row>
    <row r="228" spans="66:97" ht="17.399999999999999" customHeight="1" x14ac:dyDescent="0.4">
      <c r="BN228" s="276"/>
      <c r="BO228" s="277"/>
      <c r="BP228" s="277"/>
      <c r="BQ228" s="277"/>
      <c r="BR228" s="277"/>
      <c r="BS228" s="277"/>
      <c r="BT228" s="277"/>
      <c r="BU228" s="277"/>
      <c r="BV228" s="277"/>
      <c r="BW228" s="277"/>
      <c r="BX228" s="277"/>
      <c r="BY228" s="277"/>
      <c r="BZ228" s="277"/>
      <c r="CA228" s="277"/>
      <c r="CB228" s="277"/>
      <c r="CC228" s="277"/>
      <c r="CD228" s="277"/>
      <c r="CE228" s="277"/>
      <c r="CF228" s="277"/>
      <c r="CG228" s="277"/>
      <c r="CH228" s="277"/>
      <c r="CI228" s="277"/>
      <c r="CJ228" s="277"/>
      <c r="CK228" s="277"/>
      <c r="CL228" s="277"/>
      <c r="CM228" s="277"/>
      <c r="CN228" s="277"/>
      <c r="CO228" s="277"/>
      <c r="CP228" s="277"/>
      <c r="CQ228" s="277"/>
      <c r="CR228" s="277"/>
      <c r="CS228" s="278"/>
    </row>
    <row r="229" spans="66:97" ht="17.399999999999999" customHeight="1" x14ac:dyDescent="0.4">
      <c r="BN229" s="276"/>
      <c r="BO229" s="277"/>
      <c r="BP229" s="277"/>
      <c r="BQ229" s="277"/>
      <c r="BR229" s="277"/>
      <c r="BS229" s="277"/>
      <c r="BT229" s="277"/>
      <c r="BU229" s="277"/>
      <c r="BV229" s="277"/>
      <c r="BW229" s="277"/>
      <c r="BX229" s="277"/>
      <c r="BY229" s="277"/>
      <c r="BZ229" s="277"/>
      <c r="CA229" s="277"/>
      <c r="CB229" s="277"/>
      <c r="CC229" s="277"/>
      <c r="CD229" s="277"/>
      <c r="CE229" s="277"/>
      <c r="CF229" s="277"/>
      <c r="CG229" s="277"/>
      <c r="CH229" s="277"/>
      <c r="CI229" s="277"/>
      <c r="CJ229" s="277"/>
      <c r="CK229" s="277"/>
      <c r="CL229" s="277"/>
      <c r="CM229" s="277"/>
      <c r="CN229" s="277"/>
      <c r="CO229" s="277"/>
      <c r="CP229" s="277"/>
      <c r="CQ229" s="277"/>
      <c r="CR229" s="277"/>
      <c r="CS229" s="278"/>
    </row>
    <row r="230" spans="66:97" ht="17.399999999999999" customHeight="1" x14ac:dyDescent="0.4">
      <c r="BN230" s="276"/>
      <c r="BO230" s="277"/>
      <c r="BP230" s="277"/>
      <c r="BQ230" s="277"/>
      <c r="BR230" s="277"/>
      <c r="BS230" s="277"/>
      <c r="BT230" s="277"/>
      <c r="BU230" s="277"/>
      <c r="BV230" s="277"/>
      <c r="BW230" s="277"/>
      <c r="BX230" s="277"/>
      <c r="BY230" s="277"/>
      <c r="BZ230" s="277"/>
      <c r="CA230" s="277"/>
      <c r="CB230" s="277"/>
      <c r="CC230" s="277"/>
      <c r="CD230" s="277"/>
      <c r="CE230" s="277"/>
      <c r="CF230" s="277"/>
      <c r="CG230" s="277"/>
      <c r="CH230" s="277"/>
      <c r="CI230" s="277"/>
      <c r="CJ230" s="277"/>
      <c r="CK230" s="277"/>
      <c r="CL230" s="277"/>
      <c r="CM230" s="277"/>
      <c r="CN230" s="277"/>
      <c r="CO230" s="277"/>
      <c r="CP230" s="277"/>
      <c r="CQ230" s="277"/>
      <c r="CR230" s="277"/>
      <c r="CS230" s="278"/>
    </row>
    <row r="231" spans="66:97" ht="17.399999999999999" customHeight="1" x14ac:dyDescent="0.4">
      <c r="BN231" s="276"/>
      <c r="BO231" s="277"/>
      <c r="BP231" s="277"/>
      <c r="BQ231" s="277"/>
      <c r="BR231" s="277"/>
      <c r="BS231" s="277"/>
      <c r="BT231" s="277"/>
      <c r="BU231" s="277"/>
      <c r="BV231" s="277"/>
      <c r="BW231" s="277"/>
      <c r="BX231" s="277"/>
      <c r="BY231" s="277"/>
      <c r="BZ231" s="277"/>
      <c r="CA231" s="277"/>
      <c r="CB231" s="277"/>
      <c r="CC231" s="277"/>
      <c r="CD231" s="277"/>
      <c r="CE231" s="277"/>
      <c r="CF231" s="277"/>
      <c r="CG231" s="277"/>
      <c r="CH231" s="277"/>
      <c r="CI231" s="277"/>
      <c r="CJ231" s="277"/>
      <c r="CK231" s="277"/>
      <c r="CL231" s="277"/>
      <c r="CM231" s="277"/>
      <c r="CN231" s="277"/>
      <c r="CO231" s="277"/>
      <c r="CP231" s="277"/>
      <c r="CQ231" s="277"/>
      <c r="CR231" s="277"/>
      <c r="CS231" s="278"/>
    </row>
    <row r="232" spans="66:97" ht="17.399999999999999" customHeight="1" x14ac:dyDescent="0.4">
      <c r="BN232" s="276"/>
      <c r="BO232" s="277"/>
      <c r="BP232" s="277"/>
      <c r="BQ232" s="277"/>
      <c r="BR232" s="277"/>
      <c r="BS232" s="277"/>
      <c r="BT232" s="277"/>
      <c r="BU232" s="277"/>
      <c r="BV232" s="277"/>
      <c r="BW232" s="277"/>
      <c r="BX232" s="277"/>
      <c r="BY232" s="277"/>
      <c r="BZ232" s="277"/>
      <c r="CA232" s="277"/>
      <c r="CB232" s="277"/>
      <c r="CC232" s="277"/>
      <c r="CD232" s="277"/>
      <c r="CE232" s="277"/>
      <c r="CF232" s="277"/>
      <c r="CG232" s="277"/>
      <c r="CH232" s="277"/>
      <c r="CI232" s="277"/>
      <c r="CJ232" s="277"/>
      <c r="CK232" s="277"/>
      <c r="CL232" s="277"/>
      <c r="CM232" s="277"/>
      <c r="CN232" s="277"/>
      <c r="CO232" s="277"/>
      <c r="CP232" s="277"/>
      <c r="CQ232" s="277"/>
      <c r="CR232" s="277"/>
      <c r="CS232" s="278"/>
    </row>
    <row r="233" spans="66:97" ht="17.399999999999999" customHeight="1" x14ac:dyDescent="0.4">
      <c r="BN233" s="276"/>
      <c r="BO233" s="277"/>
      <c r="BP233" s="277"/>
      <c r="BQ233" s="277"/>
      <c r="BR233" s="277"/>
      <c r="BS233" s="277"/>
      <c r="BT233" s="277"/>
      <c r="BU233" s="277"/>
      <c r="BV233" s="277"/>
      <c r="BW233" s="277"/>
      <c r="BX233" s="277"/>
      <c r="BY233" s="277"/>
      <c r="BZ233" s="277"/>
      <c r="CA233" s="277"/>
      <c r="CB233" s="277"/>
      <c r="CC233" s="277"/>
      <c r="CD233" s="277"/>
      <c r="CE233" s="277"/>
      <c r="CF233" s="277"/>
      <c r="CG233" s="277"/>
      <c r="CH233" s="277"/>
      <c r="CI233" s="277"/>
      <c r="CJ233" s="277"/>
      <c r="CK233" s="277"/>
      <c r="CL233" s="277"/>
      <c r="CM233" s="277"/>
      <c r="CN233" s="277"/>
      <c r="CO233" s="277"/>
      <c r="CP233" s="277"/>
      <c r="CQ233" s="277"/>
      <c r="CR233" s="277"/>
      <c r="CS233" s="278"/>
    </row>
    <row r="234" spans="66:97" ht="17.399999999999999" customHeight="1" x14ac:dyDescent="0.4">
      <c r="BN234" s="276"/>
      <c r="BO234" s="277"/>
      <c r="BP234" s="277"/>
      <c r="BQ234" s="277"/>
      <c r="BR234" s="277"/>
      <c r="BS234" s="277"/>
      <c r="BT234" s="277"/>
      <c r="BU234" s="277"/>
      <c r="BV234" s="277"/>
      <c r="BW234" s="277"/>
      <c r="BX234" s="277"/>
      <c r="BY234" s="277"/>
      <c r="BZ234" s="277"/>
      <c r="CA234" s="277"/>
      <c r="CB234" s="277"/>
      <c r="CC234" s="277"/>
      <c r="CD234" s="277"/>
      <c r="CE234" s="277"/>
      <c r="CF234" s="277"/>
      <c r="CG234" s="277"/>
      <c r="CH234" s="277"/>
      <c r="CI234" s="277"/>
      <c r="CJ234" s="277"/>
      <c r="CK234" s="277"/>
      <c r="CL234" s="277"/>
      <c r="CM234" s="277"/>
      <c r="CN234" s="277"/>
      <c r="CO234" s="277"/>
      <c r="CP234" s="277"/>
      <c r="CQ234" s="277"/>
      <c r="CR234" s="277"/>
      <c r="CS234" s="278"/>
    </row>
    <row r="235" spans="66:97" ht="17.399999999999999" customHeight="1" thickBot="1" x14ac:dyDescent="0.45">
      <c r="BN235" s="279"/>
      <c r="BO235" s="280"/>
      <c r="BP235" s="280"/>
      <c r="BQ235" s="280"/>
      <c r="BR235" s="280"/>
      <c r="BS235" s="280"/>
      <c r="BT235" s="280"/>
      <c r="BU235" s="280"/>
      <c r="BV235" s="280"/>
      <c r="BW235" s="280"/>
      <c r="BX235" s="280"/>
      <c r="BY235" s="280"/>
      <c r="BZ235" s="280"/>
      <c r="CA235" s="280"/>
      <c r="CB235" s="280"/>
      <c r="CC235" s="280"/>
      <c r="CD235" s="280"/>
      <c r="CE235" s="280"/>
      <c r="CF235" s="280"/>
      <c r="CG235" s="280"/>
      <c r="CH235" s="280"/>
      <c r="CI235" s="280"/>
      <c r="CJ235" s="280"/>
      <c r="CK235" s="280"/>
      <c r="CL235" s="280"/>
      <c r="CM235" s="280"/>
      <c r="CN235" s="280"/>
      <c r="CO235" s="280"/>
      <c r="CP235" s="280"/>
      <c r="CQ235" s="280"/>
      <c r="CR235" s="280"/>
      <c r="CS235" s="281"/>
    </row>
    <row r="236" spans="66:97" ht="17.399999999999999" customHeight="1" x14ac:dyDescent="0.4"/>
    <row r="237" spans="66:97" ht="17.399999999999999" customHeight="1" thickBot="1" x14ac:dyDescent="0.45"/>
    <row r="238" spans="66:97" ht="17.399999999999999" customHeight="1" x14ac:dyDescent="0.4">
      <c r="BN238" s="273" t="s">
        <v>437</v>
      </c>
      <c r="BO238" s="274"/>
      <c r="BP238" s="274"/>
      <c r="BQ238" s="274"/>
      <c r="BR238" s="274"/>
      <c r="BS238" s="274"/>
      <c r="BT238" s="274"/>
      <c r="BU238" s="274"/>
      <c r="BV238" s="274"/>
      <c r="BW238" s="274"/>
      <c r="BX238" s="274"/>
      <c r="BY238" s="274"/>
      <c r="BZ238" s="274"/>
      <c r="CA238" s="274"/>
      <c r="CB238" s="274"/>
      <c r="CC238" s="274"/>
      <c r="CD238" s="274"/>
      <c r="CE238" s="274"/>
      <c r="CF238" s="274"/>
      <c r="CG238" s="274"/>
      <c r="CH238" s="274"/>
      <c r="CI238" s="274"/>
      <c r="CJ238" s="274"/>
      <c r="CK238" s="274"/>
      <c r="CL238" s="274"/>
      <c r="CM238" s="274"/>
      <c r="CN238" s="274"/>
      <c r="CO238" s="274"/>
      <c r="CP238" s="274"/>
      <c r="CQ238" s="274"/>
      <c r="CR238" s="274"/>
      <c r="CS238" s="275"/>
    </row>
    <row r="239" spans="66:97" ht="17.399999999999999" customHeight="1" x14ac:dyDescent="0.4">
      <c r="BN239" s="276"/>
      <c r="BO239" s="277"/>
      <c r="BP239" s="277"/>
      <c r="BQ239" s="277"/>
      <c r="BR239" s="277"/>
      <c r="BS239" s="277"/>
      <c r="BT239" s="277"/>
      <c r="BU239" s="277"/>
      <c r="BV239" s="277"/>
      <c r="BW239" s="277"/>
      <c r="BX239" s="277"/>
      <c r="BY239" s="277"/>
      <c r="BZ239" s="277"/>
      <c r="CA239" s="277"/>
      <c r="CB239" s="277"/>
      <c r="CC239" s="277"/>
      <c r="CD239" s="277"/>
      <c r="CE239" s="277"/>
      <c r="CF239" s="277"/>
      <c r="CG239" s="277"/>
      <c r="CH239" s="277"/>
      <c r="CI239" s="277"/>
      <c r="CJ239" s="277"/>
      <c r="CK239" s="277"/>
      <c r="CL239" s="277"/>
      <c r="CM239" s="277"/>
      <c r="CN239" s="277"/>
      <c r="CO239" s="277"/>
      <c r="CP239" s="277"/>
      <c r="CQ239" s="277"/>
      <c r="CR239" s="277"/>
      <c r="CS239" s="278"/>
    </row>
    <row r="240" spans="66:97" ht="17.399999999999999" customHeight="1" x14ac:dyDescent="0.4">
      <c r="BN240" s="276"/>
      <c r="BO240" s="277"/>
      <c r="BP240" s="277"/>
      <c r="BQ240" s="277"/>
      <c r="BR240" s="277"/>
      <c r="BS240" s="277"/>
      <c r="BT240" s="277"/>
      <c r="BU240" s="277"/>
      <c r="BV240" s="277"/>
      <c r="BW240" s="277"/>
      <c r="BX240" s="277"/>
      <c r="BY240" s="277"/>
      <c r="BZ240" s="277"/>
      <c r="CA240" s="277"/>
      <c r="CB240" s="277"/>
      <c r="CC240" s="277"/>
      <c r="CD240" s="277"/>
      <c r="CE240" s="277"/>
      <c r="CF240" s="277"/>
      <c r="CG240" s="277"/>
      <c r="CH240" s="277"/>
      <c r="CI240" s="277"/>
      <c r="CJ240" s="277"/>
      <c r="CK240" s="277"/>
      <c r="CL240" s="277"/>
      <c r="CM240" s="277"/>
      <c r="CN240" s="277"/>
      <c r="CO240" s="277"/>
      <c r="CP240" s="277"/>
      <c r="CQ240" s="277"/>
      <c r="CR240" s="277"/>
      <c r="CS240" s="278"/>
    </row>
    <row r="241" spans="66:97" ht="17.399999999999999" customHeight="1" x14ac:dyDescent="0.4">
      <c r="BN241" s="276"/>
      <c r="BO241" s="277"/>
      <c r="BP241" s="277"/>
      <c r="BQ241" s="277"/>
      <c r="BR241" s="277"/>
      <c r="BS241" s="277"/>
      <c r="BT241" s="277"/>
      <c r="BU241" s="277"/>
      <c r="BV241" s="277"/>
      <c r="BW241" s="277"/>
      <c r="BX241" s="277"/>
      <c r="BY241" s="277"/>
      <c r="BZ241" s="277"/>
      <c r="CA241" s="277"/>
      <c r="CB241" s="277"/>
      <c r="CC241" s="277"/>
      <c r="CD241" s="277"/>
      <c r="CE241" s="277"/>
      <c r="CF241" s="277"/>
      <c r="CG241" s="277"/>
      <c r="CH241" s="277"/>
      <c r="CI241" s="277"/>
      <c r="CJ241" s="277"/>
      <c r="CK241" s="277"/>
      <c r="CL241" s="277"/>
      <c r="CM241" s="277"/>
      <c r="CN241" s="277"/>
      <c r="CO241" s="277"/>
      <c r="CP241" s="277"/>
      <c r="CQ241" s="277"/>
      <c r="CR241" s="277"/>
      <c r="CS241" s="278"/>
    </row>
    <row r="242" spans="66:97" ht="17.399999999999999" customHeight="1" x14ac:dyDescent="0.4">
      <c r="BN242" s="276"/>
      <c r="BO242" s="277"/>
      <c r="BP242" s="277"/>
      <c r="BQ242" s="277"/>
      <c r="BR242" s="277"/>
      <c r="BS242" s="277"/>
      <c r="BT242" s="277"/>
      <c r="BU242" s="277"/>
      <c r="BV242" s="277"/>
      <c r="BW242" s="277"/>
      <c r="BX242" s="277"/>
      <c r="BY242" s="277"/>
      <c r="BZ242" s="277"/>
      <c r="CA242" s="277"/>
      <c r="CB242" s="277"/>
      <c r="CC242" s="277"/>
      <c r="CD242" s="277"/>
      <c r="CE242" s="277"/>
      <c r="CF242" s="277"/>
      <c r="CG242" s="277"/>
      <c r="CH242" s="277"/>
      <c r="CI242" s="277"/>
      <c r="CJ242" s="277"/>
      <c r="CK242" s="277"/>
      <c r="CL242" s="277"/>
      <c r="CM242" s="277"/>
      <c r="CN242" s="277"/>
      <c r="CO242" s="277"/>
      <c r="CP242" s="277"/>
      <c r="CQ242" s="277"/>
      <c r="CR242" s="277"/>
      <c r="CS242" s="278"/>
    </row>
    <row r="243" spans="66:97" ht="17.399999999999999" customHeight="1" x14ac:dyDescent="0.4">
      <c r="BN243" s="276"/>
      <c r="BO243" s="277"/>
      <c r="BP243" s="277"/>
      <c r="BQ243" s="277"/>
      <c r="BR243" s="277"/>
      <c r="BS243" s="277"/>
      <c r="BT243" s="277"/>
      <c r="BU243" s="277"/>
      <c r="BV243" s="277"/>
      <c r="BW243" s="277"/>
      <c r="BX243" s="277"/>
      <c r="BY243" s="277"/>
      <c r="BZ243" s="277"/>
      <c r="CA243" s="277"/>
      <c r="CB243" s="277"/>
      <c r="CC243" s="277"/>
      <c r="CD243" s="277"/>
      <c r="CE243" s="277"/>
      <c r="CF243" s="277"/>
      <c r="CG243" s="277"/>
      <c r="CH243" s="277"/>
      <c r="CI243" s="277"/>
      <c r="CJ243" s="277"/>
      <c r="CK243" s="277"/>
      <c r="CL243" s="277"/>
      <c r="CM243" s="277"/>
      <c r="CN243" s="277"/>
      <c r="CO243" s="277"/>
      <c r="CP243" s="277"/>
      <c r="CQ243" s="277"/>
      <c r="CR243" s="277"/>
      <c r="CS243" s="278"/>
    </row>
    <row r="244" spans="66:97" ht="17.399999999999999" customHeight="1" x14ac:dyDescent="0.4">
      <c r="BN244" s="276"/>
      <c r="BO244" s="277"/>
      <c r="BP244" s="277"/>
      <c r="BQ244" s="277"/>
      <c r="BR244" s="277"/>
      <c r="BS244" s="277"/>
      <c r="BT244" s="277"/>
      <c r="BU244" s="277"/>
      <c r="BV244" s="277"/>
      <c r="BW244" s="277"/>
      <c r="BX244" s="277"/>
      <c r="BY244" s="277"/>
      <c r="BZ244" s="277"/>
      <c r="CA244" s="277"/>
      <c r="CB244" s="277"/>
      <c r="CC244" s="277"/>
      <c r="CD244" s="277"/>
      <c r="CE244" s="277"/>
      <c r="CF244" s="277"/>
      <c r="CG244" s="277"/>
      <c r="CH244" s="277"/>
      <c r="CI244" s="277"/>
      <c r="CJ244" s="277"/>
      <c r="CK244" s="277"/>
      <c r="CL244" s="277"/>
      <c r="CM244" s="277"/>
      <c r="CN244" s="277"/>
      <c r="CO244" s="277"/>
      <c r="CP244" s="277"/>
      <c r="CQ244" s="277"/>
      <c r="CR244" s="277"/>
      <c r="CS244" s="278"/>
    </row>
    <row r="245" spans="66:97" ht="17.399999999999999" customHeight="1" x14ac:dyDescent="0.4">
      <c r="BN245" s="276"/>
      <c r="BO245" s="277"/>
      <c r="BP245" s="277"/>
      <c r="BQ245" s="277"/>
      <c r="BR245" s="277"/>
      <c r="BS245" s="277"/>
      <c r="BT245" s="277"/>
      <c r="BU245" s="277"/>
      <c r="BV245" s="277"/>
      <c r="BW245" s="277"/>
      <c r="BX245" s="277"/>
      <c r="BY245" s="277"/>
      <c r="BZ245" s="277"/>
      <c r="CA245" s="277"/>
      <c r="CB245" s="277"/>
      <c r="CC245" s="277"/>
      <c r="CD245" s="277"/>
      <c r="CE245" s="277"/>
      <c r="CF245" s="277"/>
      <c r="CG245" s="277"/>
      <c r="CH245" s="277"/>
      <c r="CI245" s="277"/>
      <c r="CJ245" s="277"/>
      <c r="CK245" s="277"/>
      <c r="CL245" s="277"/>
      <c r="CM245" s="277"/>
      <c r="CN245" s="277"/>
      <c r="CO245" s="277"/>
      <c r="CP245" s="277"/>
      <c r="CQ245" s="277"/>
      <c r="CR245" s="277"/>
      <c r="CS245" s="278"/>
    </row>
    <row r="246" spans="66:97" ht="17.399999999999999" customHeight="1" x14ac:dyDescent="0.4">
      <c r="BN246" s="276"/>
      <c r="BO246" s="277"/>
      <c r="BP246" s="277"/>
      <c r="BQ246" s="277"/>
      <c r="BR246" s="277"/>
      <c r="BS246" s="277"/>
      <c r="BT246" s="277"/>
      <c r="BU246" s="277"/>
      <c r="BV246" s="277"/>
      <c r="BW246" s="277"/>
      <c r="BX246" s="277"/>
      <c r="BY246" s="277"/>
      <c r="BZ246" s="277"/>
      <c r="CA246" s="277"/>
      <c r="CB246" s="277"/>
      <c r="CC246" s="277"/>
      <c r="CD246" s="277"/>
      <c r="CE246" s="277"/>
      <c r="CF246" s="277"/>
      <c r="CG246" s="277"/>
      <c r="CH246" s="277"/>
      <c r="CI246" s="277"/>
      <c r="CJ246" s="277"/>
      <c r="CK246" s="277"/>
      <c r="CL246" s="277"/>
      <c r="CM246" s="277"/>
      <c r="CN246" s="277"/>
      <c r="CO246" s="277"/>
      <c r="CP246" s="277"/>
      <c r="CQ246" s="277"/>
      <c r="CR246" s="277"/>
      <c r="CS246" s="278"/>
    </row>
    <row r="247" spans="66:97" ht="17.399999999999999" customHeight="1" x14ac:dyDescent="0.4">
      <c r="BN247" s="276"/>
      <c r="BO247" s="277"/>
      <c r="BP247" s="277"/>
      <c r="BQ247" s="277"/>
      <c r="BR247" s="277"/>
      <c r="BS247" s="277"/>
      <c r="BT247" s="277"/>
      <c r="BU247" s="277"/>
      <c r="BV247" s="277"/>
      <c r="BW247" s="277"/>
      <c r="BX247" s="277"/>
      <c r="BY247" s="277"/>
      <c r="BZ247" s="277"/>
      <c r="CA247" s="277"/>
      <c r="CB247" s="277"/>
      <c r="CC247" s="277"/>
      <c r="CD247" s="277"/>
      <c r="CE247" s="277"/>
      <c r="CF247" s="277"/>
      <c r="CG247" s="277"/>
      <c r="CH247" s="277"/>
      <c r="CI247" s="277"/>
      <c r="CJ247" s="277"/>
      <c r="CK247" s="277"/>
      <c r="CL247" s="277"/>
      <c r="CM247" s="277"/>
      <c r="CN247" s="277"/>
      <c r="CO247" s="277"/>
      <c r="CP247" s="277"/>
      <c r="CQ247" s="277"/>
      <c r="CR247" s="277"/>
      <c r="CS247" s="278"/>
    </row>
    <row r="248" spans="66:97" ht="17.399999999999999" customHeight="1" x14ac:dyDescent="0.4">
      <c r="BN248" s="276"/>
      <c r="BO248" s="277"/>
      <c r="BP248" s="277"/>
      <c r="BQ248" s="277"/>
      <c r="BR248" s="277"/>
      <c r="BS248" s="277"/>
      <c r="BT248" s="277"/>
      <c r="BU248" s="277"/>
      <c r="BV248" s="277"/>
      <c r="BW248" s="277"/>
      <c r="BX248" s="277"/>
      <c r="BY248" s="277"/>
      <c r="BZ248" s="277"/>
      <c r="CA248" s="277"/>
      <c r="CB248" s="277"/>
      <c r="CC248" s="277"/>
      <c r="CD248" s="277"/>
      <c r="CE248" s="277"/>
      <c r="CF248" s="277"/>
      <c r="CG248" s="277"/>
      <c r="CH248" s="277"/>
      <c r="CI248" s="277"/>
      <c r="CJ248" s="277"/>
      <c r="CK248" s="277"/>
      <c r="CL248" s="277"/>
      <c r="CM248" s="277"/>
      <c r="CN248" s="277"/>
      <c r="CO248" s="277"/>
      <c r="CP248" s="277"/>
      <c r="CQ248" s="277"/>
      <c r="CR248" s="277"/>
      <c r="CS248" s="278"/>
    </row>
    <row r="249" spans="66:97" ht="17.399999999999999" customHeight="1" x14ac:dyDescent="0.4">
      <c r="BN249" s="276"/>
      <c r="BO249" s="277"/>
      <c r="BP249" s="277"/>
      <c r="BQ249" s="277"/>
      <c r="BR249" s="277"/>
      <c r="BS249" s="277"/>
      <c r="BT249" s="277"/>
      <c r="BU249" s="277"/>
      <c r="BV249" s="277"/>
      <c r="BW249" s="277"/>
      <c r="BX249" s="277"/>
      <c r="BY249" s="277"/>
      <c r="BZ249" s="277"/>
      <c r="CA249" s="277"/>
      <c r="CB249" s="277"/>
      <c r="CC249" s="277"/>
      <c r="CD249" s="277"/>
      <c r="CE249" s="277"/>
      <c r="CF249" s="277"/>
      <c r="CG249" s="277"/>
      <c r="CH249" s="277"/>
      <c r="CI249" s="277"/>
      <c r="CJ249" s="277"/>
      <c r="CK249" s="277"/>
      <c r="CL249" s="277"/>
      <c r="CM249" s="277"/>
      <c r="CN249" s="277"/>
      <c r="CO249" s="277"/>
      <c r="CP249" s="277"/>
      <c r="CQ249" s="277"/>
      <c r="CR249" s="277"/>
      <c r="CS249" s="278"/>
    </row>
    <row r="250" spans="66:97" ht="17.399999999999999" customHeight="1" x14ac:dyDescent="0.4">
      <c r="BN250" s="276"/>
      <c r="BO250" s="277"/>
      <c r="BP250" s="277"/>
      <c r="BQ250" s="277"/>
      <c r="BR250" s="277"/>
      <c r="BS250" s="277"/>
      <c r="BT250" s="277"/>
      <c r="BU250" s="277"/>
      <c r="BV250" s="277"/>
      <c r="BW250" s="277"/>
      <c r="BX250" s="277"/>
      <c r="BY250" s="277"/>
      <c r="BZ250" s="277"/>
      <c r="CA250" s="277"/>
      <c r="CB250" s="277"/>
      <c r="CC250" s="277"/>
      <c r="CD250" s="277"/>
      <c r="CE250" s="277"/>
      <c r="CF250" s="277"/>
      <c r="CG250" s="277"/>
      <c r="CH250" s="277"/>
      <c r="CI250" s="277"/>
      <c r="CJ250" s="277"/>
      <c r="CK250" s="277"/>
      <c r="CL250" s="277"/>
      <c r="CM250" s="277"/>
      <c r="CN250" s="277"/>
      <c r="CO250" s="277"/>
      <c r="CP250" s="277"/>
      <c r="CQ250" s="277"/>
      <c r="CR250" s="277"/>
      <c r="CS250" s="278"/>
    </row>
    <row r="251" spans="66:97" ht="17.399999999999999" customHeight="1" x14ac:dyDescent="0.4">
      <c r="BN251" s="276"/>
      <c r="BO251" s="277"/>
      <c r="BP251" s="277"/>
      <c r="BQ251" s="277"/>
      <c r="BR251" s="277"/>
      <c r="BS251" s="277"/>
      <c r="BT251" s="277"/>
      <c r="BU251" s="277"/>
      <c r="BV251" s="277"/>
      <c r="BW251" s="277"/>
      <c r="BX251" s="277"/>
      <c r="BY251" s="277"/>
      <c r="BZ251" s="277"/>
      <c r="CA251" s="277"/>
      <c r="CB251" s="277"/>
      <c r="CC251" s="277"/>
      <c r="CD251" s="277"/>
      <c r="CE251" s="277"/>
      <c r="CF251" s="277"/>
      <c r="CG251" s="277"/>
      <c r="CH251" s="277"/>
      <c r="CI251" s="277"/>
      <c r="CJ251" s="277"/>
      <c r="CK251" s="277"/>
      <c r="CL251" s="277"/>
      <c r="CM251" s="277"/>
      <c r="CN251" s="277"/>
      <c r="CO251" s="277"/>
      <c r="CP251" s="277"/>
      <c r="CQ251" s="277"/>
      <c r="CR251" s="277"/>
      <c r="CS251" s="278"/>
    </row>
    <row r="252" spans="66:97" ht="17.399999999999999" customHeight="1" x14ac:dyDescent="0.4">
      <c r="BN252" s="276"/>
      <c r="BO252" s="277"/>
      <c r="BP252" s="277"/>
      <c r="BQ252" s="277"/>
      <c r="BR252" s="277"/>
      <c r="BS252" s="277"/>
      <c r="BT252" s="277"/>
      <c r="BU252" s="277"/>
      <c r="BV252" s="277"/>
      <c r="BW252" s="277"/>
      <c r="BX252" s="277"/>
      <c r="BY252" s="277"/>
      <c r="BZ252" s="277"/>
      <c r="CA252" s="277"/>
      <c r="CB252" s="277"/>
      <c r="CC252" s="277"/>
      <c r="CD252" s="277"/>
      <c r="CE252" s="277"/>
      <c r="CF252" s="277"/>
      <c r="CG252" s="277"/>
      <c r="CH252" s="277"/>
      <c r="CI252" s="277"/>
      <c r="CJ252" s="277"/>
      <c r="CK252" s="277"/>
      <c r="CL252" s="277"/>
      <c r="CM252" s="277"/>
      <c r="CN252" s="277"/>
      <c r="CO252" s="277"/>
      <c r="CP252" s="277"/>
      <c r="CQ252" s="277"/>
      <c r="CR252" s="277"/>
      <c r="CS252" s="278"/>
    </row>
    <row r="253" spans="66:97" ht="17.399999999999999" customHeight="1" x14ac:dyDescent="0.4">
      <c r="BN253" s="276"/>
      <c r="BO253" s="277"/>
      <c r="BP253" s="277"/>
      <c r="BQ253" s="277"/>
      <c r="BR253" s="277"/>
      <c r="BS253" s="277"/>
      <c r="BT253" s="277"/>
      <c r="BU253" s="277"/>
      <c r="BV253" s="277"/>
      <c r="BW253" s="277"/>
      <c r="BX253" s="277"/>
      <c r="BY253" s="277"/>
      <c r="BZ253" s="277"/>
      <c r="CA253" s="277"/>
      <c r="CB253" s="277"/>
      <c r="CC253" s="277"/>
      <c r="CD253" s="277"/>
      <c r="CE253" s="277"/>
      <c r="CF253" s="277"/>
      <c r="CG253" s="277"/>
      <c r="CH253" s="277"/>
      <c r="CI253" s="277"/>
      <c r="CJ253" s="277"/>
      <c r="CK253" s="277"/>
      <c r="CL253" s="277"/>
      <c r="CM253" s="277"/>
      <c r="CN253" s="277"/>
      <c r="CO253" s="277"/>
      <c r="CP253" s="277"/>
      <c r="CQ253" s="277"/>
      <c r="CR253" s="277"/>
      <c r="CS253" s="278"/>
    </row>
    <row r="254" spans="66:97" ht="17.399999999999999" customHeight="1" x14ac:dyDescent="0.4">
      <c r="BN254" s="276"/>
      <c r="BO254" s="277"/>
      <c r="BP254" s="277"/>
      <c r="BQ254" s="277"/>
      <c r="BR254" s="277"/>
      <c r="BS254" s="277"/>
      <c r="BT254" s="277"/>
      <c r="BU254" s="277"/>
      <c r="BV254" s="277"/>
      <c r="BW254" s="277"/>
      <c r="BX254" s="277"/>
      <c r="BY254" s="277"/>
      <c r="BZ254" s="277"/>
      <c r="CA254" s="277"/>
      <c r="CB254" s="277"/>
      <c r="CC254" s="277"/>
      <c r="CD254" s="277"/>
      <c r="CE254" s="277"/>
      <c r="CF254" s="277"/>
      <c r="CG254" s="277"/>
      <c r="CH254" s="277"/>
      <c r="CI254" s="277"/>
      <c r="CJ254" s="277"/>
      <c r="CK254" s="277"/>
      <c r="CL254" s="277"/>
      <c r="CM254" s="277"/>
      <c r="CN254" s="277"/>
      <c r="CO254" s="277"/>
      <c r="CP254" s="277"/>
      <c r="CQ254" s="277"/>
      <c r="CR254" s="277"/>
      <c r="CS254" s="278"/>
    </row>
    <row r="255" spans="66:97" ht="17.399999999999999" customHeight="1" x14ac:dyDescent="0.4">
      <c r="BN255" s="276"/>
      <c r="BO255" s="277"/>
      <c r="BP255" s="277"/>
      <c r="BQ255" s="277"/>
      <c r="BR255" s="277"/>
      <c r="BS255" s="277"/>
      <c r="BT255" s="277"/>
      <c r="BU255" s="277"/>
      <c r="BV255" s="277"/>
      <c r="BW255" s="277"/>
      <c r="BX255" s="277"/>
      <c r="BY255" s="277"/>
      <c r="BZ255" s="277"/>
      <c r="CA255" s="277"/>
      <c r="CB255" s="277"/>
      <c r="CC255" s="277"/>
      <c r="CD255" s="277"/>
      <c r="CE255" s="277"/>
      <c r="CF255" s="277"/>
      <c r="CG255" s="277"/>
      <c r="CH255" s="277"/>
      <c r="CI255" s="277"/>
      <c r="CJ255" s="277"/>
      <c r="CK255" s="277"/>
      <c r="CL255" s="277"/>
      <c r="CM255" s="277"/>
      <c r="CN255" s="277"/>
      <c r="CO255" s="277"/>
      <c r="CP255" s="277"/>
      <c r="CQ255" s="277"/>
      <c r="CR255" s="277"/>
      <c r="CS255" s="278"/>
    </row>
    <row r="256" spans="66:97" ht="17.399999999999999" customHeight="1" x14ac:dyDescent="0.4">
      <c r="BN256" s="276"/>
      <c r="BO256" s="277"/>
      <c r="BP256" s="277"/>
      <c r="BQ256" s="277"/>
      <c r="BR256" s="277"/>
      <c r="BS256" s="277"/>
      <c r="BT256" s="277"/>
      <c r="BU256" s="277"/>
      <c r="BV256" s="277"/>
      <c r="BW256" s="277"/>
      <c r="BX256" s="277"/>
      <c r="BY256" s="277"/>
      <c r="BZ256" s="277"/>
      <c r="CA256" s="277"/>
      <c r="CB256" s="277"/>
      <c r="CC256" s="277"/>
      <c r="CD256" s="277"/>
      <c r="CE256" s="277"/>
      <c r="CF256" s="277"/>
      <c r="CG256" s="277"/>
      <c r="CH256" s="277"/>
      <c r="CI256" s="277"/>
      <c r="CJ256" s="277"/>
      <c r="CK256" s="277"/>
      <c r="CL256" s="277"/>
      <c r="CM256" s="277"/>
      <c r="CN256" s="277"/>
      <c r="CO256" s="277"/>
      <c r="CP256" s="277"/>
      <c r="CQ256" s="277"/>
      <c r="CR256" s="277"/>
      <c r="CS256" s="278"/>
    </row>
    <row r="257" spans="66:97" ht="17.399999999999999" customHeight="1" x14ac:dyDescent="0.4">
      <c r="BN257" s="276"/>
      <c r="BO257" s="277"/>
      <c r="BP257" s="277"/>
      <c r="BQ257" s="277"/>
      <c r="BR257" s="277"/>
      <c r="BS257" s="277"/>
      <c r="BT257" s="277"/>
      <c r="BU257" s="277"/>
      <c r="BV257" s="277"/>
      <c r="BW257" s="277"/>
      <c r="BX257" s="277"/>
      <c r="BY257" s="277"/>
      <c r="BZ257" s="277"/>
      <c r="CA257" s="277"/>
      <c r="CB257" s="277"/>
      <c r="CC257" s="277"/>
      <c r="CD257" s="277"/>
      <c r="CE257" s="277"/>
      <c r="CF257" s="277"/>
      <c r="CG257" s="277"/>
      <c r="CH257" s="277"/>
      <c r="CI257" s="277"/>
      <c r="CJ257" s="277"/>
      <c r="CK257" s="277"/>
      <c r="CL257" s="277"/>
      <c r="CM257" s="277"/>
      <c r="CN257" s="277"/>
      <c r="CO257" s="277"/>
      <c r="CP257" s="277"/>
      <c r="CQ257" s="277"/>
      <c r="CR257" s="277"/>
      <c r="CS257" s="278"/>
    </row>
    <row r="258" spans="66:97" ht="17.399999999999999" customHeight="1" x14ac:dyDescent="0.4">
      <c r="BN258" s="276"/>
      <c r="BO258" s="277"/>
      <c r="BP258" s="277"/>
      <c r="BQ258" s="277"/>
      <c r="BR258" s="277"/>
      <c r="BS258" s="277"/>
      <c r="BT258" s="277"/>
      <c r="BU258" s="277"/>
      <c r="BV258" s="277"/>
      <c r="BW258" s="277"/>
      <c r="BX258" s="277"/>
      <c r="BY258" s="277"/>
      <c r="BZ258" s="277"/>
      <c r="CA258" s="277"/>
      <c r="CB258" s="277"/>
      <c r="CC258" s="277"/>
      <c r="CD258" s="277"/>
      <c r="CE258" s="277"/>
      <c r="CF258" s="277"/>
      <c r="CG258" s="277"/>
      <c r="CH258" s="277"/>
      <c r="CI258" s="277"/>
      <c r="CJ258" s="277"/>
      <c r="CK258" s="277"/>
      <c r="CL258" s="277"/>
      <c r="CM258" s="277"/>
      <c r="CN258" s="277"/>
      <c r="CO258" s="277"/>
      <c r="CP258" s="277"/>
      <c r="CQ258" s="277"/>
      <c r="CR258" s="277"/>
      <c r="CS258" s="278"/>
    </row>
    <row r="259" spans="66:97" ht="17.399999999999999" customHeight="1" x14ac:dyDescent="0.4">
      <c r="BN259" s="276"/>
      <c r="BO259" s="277"/>
      <c r="BP259" s="277"/>
      <c r="BQ259" s="277"/>
      <c r="BR259" s="277"/>
      <c r="BS259" s="277"/>
      <c r="BT259" s="277"/>
      <c r="BU259" s="277"/>
      <c r="BV259" s="277"/>
      <c r="BW259" s="277"/>
      <c r="BX259" s="277"/>
      <c r="BY259" s="277"/>
      <c r="BZ259" s="277"/>
      <c r="CA259" s="277"/>
      <c r="CB259" s="277"/>
      <c r="CC259" s="277"/>
      <c r="CD259" s="277"/>
      <c r="CE259" s="277"/>
      <c r="CF259" s="277"/>
      <c r="CG259" s="277"/>
      <c r="CH259" s="277"/>
      <c r="CI259" s="277"/>
      <c r="CJ259" s="277"/>
      <c r="CK259" s="277"/>
      <c r="CL259" s="277"/>
      <c r="CM259" s="277"/>
      <c r="CN259" s="277"/>
      <c r="CO259" s="277"/>
      <c r="CP259" s="277"/>
      <c r="CQ259" s="277"/>
      <c r="CR259" s="277"/>
      <c r="CS259" s="278"/>
    </row>
    <row r="260" spans="66:97" ht="17.399999999999999" customHeight="1" x14ac:dyDescent="0.4">
      <c r="BN260" s="276"/>
      <c r="BO260" s="277"/>
      <c r="BP260" s="277"/>
      <c r="BQ260" s="277"/>
      <c r="BR260" s="277"/>
      <c r="BS260" s="277"/>
      <c r="BT260" s="277"/>
      <c r="BU260" s="277"/>
      <c r="BV260" s="277"/>
      <c r="BW260" s="277"/>
      <c r="BX260" s="277"/>
      <c r="BY260" s="277"/>
      <c r="BZ260" s="277"/>
      <c r="CA260" s="277"/>
      <c r="CB260" s="277"/>
      <c r="CC260" s="277"/>
      <c r="CD260" s="277"/>
      <c r="CE260" s="277"/>
      <c r="CF260" s="277"/>
      <c r="CG260" s="277"/>
      <c r="CH260" s="277"/>
      <c r="CI260" s="277"/>
      <c r="CJ260" s="277"/>
      <c r="CK260" s="277"/>
      <c r="CL260" s="277"/>
      <c r="CM260" s="277"/>
      <c r="CN260" s="277"/>
      <c r="CO260" s="277"/>
      <c r="CP260" s="277"/>
      <c r="CQ260" s="277"/>
      <c r="CR260" s="277"/>
      <c r="CS260" s="278"/>
    </row>
    <row r="261" spans="66:97" ht="17.399999999999999" customHeight="1" x14ac:dyDescent="0.4">
      <c r="BN261" s="276"/>
      <c r="BO261" s="277"/>
      <c r="BP261" s="277"/>
      <c r="BQ261" s="277"/>
      <c r="BR261" s="277"/>
      <c r="BS261" s="277"/>
      <c r="BT261" s="277"/>
      <c r="BU261" s="277"/>
      <c r="BV261" s="277"/>
      <c r="BW261" s="277"/>
      <c r="BX261" s="277"/>
      <c r="BY261" s="277"/>
      <c r="BZ261" s="277"/>
      <c r="CA261" s="277"/>
      <c r="CB261" s="277"/>
      <c r="CC261" s="277"/>
      <c r="CD261" s="277"/>
      <c r="CE261" s="277"/>
      <c r="CF261" s="277"/>
      <c r="CG261" s="277"/>
      <c r="CH261" s="277"/>
      <c r="CI261" s="277"/>
      <c r="CJ261" s="277"/>
      <c r="CK261" s="277"/>
      <c r="CL261" s="277"/>
      <c r="CM261" s="277"/>
      <c r="CN261" s="277"/>
      <c r="CO261" s="277"/>
      <c r="CP261" s="277"/>
      <c r="CQ261" s="277"/>
      <c r="CR261" s="277"/>
      <c r="CS261" s="278"/>
    </row>
    <row r="262" spans="66:97" ht="17.399999999999999" customHeight="1" x14ac:dyDescent="0.4">
      <c r="BN262" s="276"/>
      <c r="BO262" s="277"/>
      <c r="BP262" s="277"/>
      <c r="BQ262" s="277"/>
      <c r="BR262" s="277"/>
      <c r="BS262" s="277"/>
      <c r="BT262" s="277"/>
      <c r="BU262" s="277"/>
      <c r="BV262" s="277"/>
      <c r="BW262" s="277"/>
      <c r="BX262" s="277"/>
      <c r="BY262" s="277"/>
      <c r="BZ262" s="277"/>
      <c r="CA262" s="277"/>
      <c r="CB262" s="277"/>
      <c r="CC262" s="277"/>
      <c r="CD262" s="277"/>
      <c r="CE262" s="277"/>
      <c r="CF262" s="277"/>
      <c r="CG262" s="277"/>
      <c r="CH262" s="277"/>
      <c r="CI262" s="277"/>
      <c r="CJ262" s="277"/>
      <c r="CK262" s="277"/>
      <c r="CL262" s="277"/>
      <c r="CM262" s="277"/>
      <c r="CN262" s="277"/>
      <c r="CO262" s="277"/>
      <c r="CP262" s="277"/>
      <c r="CQ262" s="277"/>
      <c r="CR262" s="277"/>
      <c r="CS262" s="278"/>
    </row>
    <row r="263" spans="66:97" ht="17.399999999999999" customHeight="1" x14ac:dyDescent="0.4">
      <c r="BN263" s="276"/>
      <c r="BO263" s="277"/>
      <c r="BP263" s="277"/>
      <c r="BQ263" s="277"/>
      <c r="BR263" s="277"/>
      <c r="BS263" s="277"/>
      <c r="BT263" s="277"/>
      <c r="BU263" s="277"/>
      <c r="BV263" s="277"/>
      <c r="BW263" s="277"/>
      <c r="BX263" s="277"/>
      <c r="BY263" s="277"/>
      <c r="BZ263" s="277"/>
      <c r="CA263" s="277"/>
      <c r="CB263" s="277"/>
      <c r="CC263" s="277"/>
      <c r="CD263" s="277"/>
      <c r="CE263" s="277"/>
      <c r="CF263" s="277"/>
      <c r="CG263" s="277"/>
      <c r="CH263" s="277"/>
      <c r="CI263" s="277"/>
      <c r="CJ263" s="277"/>
      <c r="CK263" s="277"/>
      <c r="CL263" s="277"/>
      <c r="CM263" s="277"/>
      <c r="CN263" s="277"/>
      <c r="CO263" s="277"/>
      <c r="CP263" s="277"/>
      <c r="CQ263" s="277"/>
      <c r="CR263" s="277"/>
      <c r="CS263" s="278"/>
    </row>
    <row r="264" spans="66:97" ht="17.399999999999999" customHeight="1" x14ac:dyDescent="0.4">
      <c r="BN264" s="276"/>
      <c r="BO264" s="277"/>
      <c r="BP264" s="277"/>
      <c r="BQ264" s="277"/>
      <c r="BR264" s="277"/>
      <c r="BS264" s="277"/>
      <c r="BT264" s="277"/>
      <c r="BU264" s="277"/>
      <c r="BV264" s="277"/>
      <c r="BW264" s="277"/>
      <c r="BX264" s="277"/>
      <c r="BY264" s="277"/>
      <c r="BZ264" s="277"/>
      <c r="CA264" s="277"/>
      <c r="CB264" s="277"/>
      <c r="CC264" s="277"/>
      <c r="CD264" s="277"/>
      <c r="CE264" s="277"/>
      <c r="CF264" s="277"/>
      <c r="CG264" s="277"/>
      <c r="CH264" s="277"/>
      <c r="CI264" s="277"/>
      <c r="CJ264" s="277"/>
      <c r="CK264" s="277"/>
      <c r="CL264" s="277"/>
      <c r="CM264" s="277"/>
      <c r="CN264" s="277"/>
      <c r="CO264" s="277"/>
      <c r="CP264" s="277"/>
      <c r="CQ264" s="277"/>
      <c r="CR264" s="277"/>
      <c r="CS264" s="278"/>
    </row>
    <row r="265" spans="66:97" ht="17.399999999999999" customHeight="1" x14ac:dyDescent="0.4">
      <c r="BN265" s="276"/>
      <c r="BO265" s="277"/>
      <c r="BP265" s="277"/>
      <c r="BQ265" s="277"/>
      <c r="BR265" s="277"/>
      <c r="BS265" s="277"/>
      <c r="BT265" s="277"/>
      <c r="BU265" s="277"/>
      <c r="BV265" s="277"/>
      <c r="BW265" s="277"/>
      <c r="BX265" s="277"/>
      <c r="BY265" s="277"/>
      <c r="BZ265" s="277"/>
      <c r="CA265" s="277"/>
      <c r="CB265" s="277"/>
      <c r="CC265" s="277"/>
      <c r="CD265" s="277"/>
      <c r="CE265" s="277"/>
      <c r="CF265" s="277"/>
      <c r="CG265" s="277"/>
      <c r="CH265" s="277"/>
      <c r="CI265" s="277"/>
      <c r="CJ265" s="277"/>
      <c r="CK265" s="277"/>
      <c r="CL265" s="277"/>
      <c r="CM265" s="277"/>
      <c r="CN265" s="277"/>
      <c r="CO265" s="277"/>
      <c r="CP265" s="277"/>
      <c r="CQ265" s="277"/>
      <c r="CR265" s="277"/>
      <c r="CS265" s="278"/>
    </row>
    <row r="266" spans="66:97" ht="17.399999999999999" customHeight="1" x14ac:dyDescent="0.4">
      <c r="BN266" s="276"/>
      <c r="BO266" s="277"/>
      <c r="BP266" s="277"/>
      <c r="BQ266" s="277"/>
      <c r="BR266" s="277"/>
      <c r="BS266" s="277"/>
      <c r="BT266" s="277"/>
      <c r="BU266" s="277"/>
      <c r="BV266" s="277"/>
      <c r="BW266" s="277"/>
      <c r="BX266" s="277"/>
      <c r="BY266" s="277"/>
      <c r="BZ266" s="277"/>
      <c r="CA266" s="277"/>
      <c r="CB266" s="277"/>
      <c r="CC266" s="277"/>
      <c r="CD266" s="277"/>
      <c r="CE266" s="277"/>
      <c r="CF266" s="277"/>
      <c r="CG266" s="277"/>
      <c r="CH266" s="277"/>
      <c r="CI266" s="277"/>
      <c r="CJ266" s="277"/>
      <c r="CK266" s="277"/>
      <c r="CL266" s="277"/>
      <c r="CM266" s="277"/>
      <c r="CN266" s="277"/>
      <c r="CO266" s="277"/>
      <c r="CP266" s="277"/>
      <c r="CQ266" s="277"/>
      <c r="CR266" s="277"/>
      <c r="CS266" s="278"/>
    </row>
    <row r="267" spans="66:97" ht="17.399999999999999" customHeight="1" x14ac:dyDescent="0.4">
      <c r="BN267" s="276"/>
      <c r="BO267" s="277"/>
      <c r="BP267" s="277"/>
      <c r="BQ267" s="277"/>
      <c r="BR267" s="277"/>
      <c r="BS267" s="277"/>
      <c r="BT267" s="277"/>
      <c r="BU267" s="277"/>
      <c r="BV267" s="277"/>
      <c r="BW267" s="277"/>
      <c r="BX267" s="277"/>
      <c r="BY267" s="277"/>
      <c r="BZ267" s="277"/>
      <c r="CA267" s="277"/>
      <c r="CB267" s="277"/>
      <c r="CC267" s="277"/>
      <c r="CD267" s="277"/>
      <c r="CE267" s="277"/>
      <c r="CF267" s="277"/>
      <c r="CG267" s="277"/>
      <c r="CH267" s="277"/>
      <c r="CI267" s="277"/>
      <c r="CJ267" s="277"/>
      <c r="CK267" s="277"/>
      <c r="CL267" s="277"/>
      <c r="CM267" s="277"/>
      <c r="CN267" s="277"/>
      <c r="CO267" s="277"/>
      <c r="CP267" s="277"/>
      <c r="CQ267" s="277"/>
      <c r="CR267" s="277"/>
      <c r="CS267" s="278"/>
    </row>
    <row r="268" spans="66:97" ht="17.399999999999999" customHeight="1" x14ac:dyDescent="0.4">
      <c r="BN268" s="276"/>
      <c r="BO268" s="277"/>
      <c r="BP268" s="277"/>
      <c r="BQ268" s="277"/>
      <c r="BR268" s="277"/>
      <c r="BS268" s="277"/>
      <c r="BT268" s="277"/>
      <c r="BU268" s="277"/>
      <c r="BV268" s="277"/>
      <c r="BW268" s="277"/>
      <c r="BX268" s="277"/>
      <c r="BY268" s="277"/>
      <c r="BZ268" s="277"/>
      <c r="CA268" s="277"/>
      <c r="CB268" s="277"/>
      <c r="CC268" s="277"/>
      <c r="CD268" s="277"/>
      <c r="CE268" s="277"/>
      <c r="CF268" s="277"/>
      <c r="CG268" s="277"/>
      <c r="CH268" s="277"/>
      <c r="CI268" s="277"/>
      <c r="CJ268" s="277"/>
      <c r="CK268" s="277"/>
      <c r="CL268" s="277"/>
      <c r="CM268" s="277"/>
      <c r="CN268" s="277"/>
      <c r="CO268" s="277"/>
      <c r="CP268" s="277"/>
      <c r="CQ268" s="277"/>
      <c r="CR268" s="277"/>
      <c r="CS268" s="278"/>
    </row>
    <row r="269" spans="66:97" ht="17.399999999999999" customHeight="1" x14ac:dyDescent="0.4">
      <c r="BN269" s="276"/>
      <c r="BO269" s="277"/>
      <c r="BP269" s="277"/>
      <c r="BQ269" s="277"/>
      <c r="BR269" s="277"/>
      <c r="BS269" s="277"/>
      <c r="BT269" s="277"/>
      <c r="BU269" s="277"/>
      <c r="BV269" s="277"/>
      <c r="BW269" s="277"/>
      <c r="BX269" s="277"/>
      <c r="BY269" s="277"/>
      <c r="BZ269" s="277"/>
      <c r="CA269" s="277"/>
      <c r="CB269" s="277"/>
      <c r="CC269" s="277"/>
      <c r="CD269" s="277"/>
      <c r="CE269" s="277"/>
      <c r="CF269" s="277"/>
      <c r="CG269" s="277"/>
      <c r="CH269" s="277"/>
      <c r="CI269" s="277"/>
      <c r="CJ269" s="277"/>
      <c r="CK269" s="277"/>
      <c r="CL269" s="277"/>
      <c r="CM269" s="277"/>
      <c r="CN269" s="277"/>
      <c r="CO269" s="277"/>
      <c r="CP269" s="277"/>
      <c r="CQ269" s="277"/>
      <c r="CR269" s="277"/>
      <c r="CS269" s="278"/>
    </row>
    <row r="270" spans="66:97" ht="17.399999999999999" customHeight="1" x14ac:dyDescent="0.4">
      <c r="BN270" s="276"/>
      <c r="BO270" s="277"/>
      <c r="BP270" s="277"/>
      <c r="BQ270" s="277"/>
      <c r="BR270" s="277"/>
      <c r="BS270" s="277"/>
      <c r="BT270" s="277"/>
      <c r="BU270" s="277"/>
      <c r="BV270" s="277"/>
      <c r="BW270" s="277"/>
      <c r="BX270" s="277"/>
      <c r="BY270" s="277"/>
      <c r="BZ270" s="277"/>
      <c r="CA270" s="277"/>
      <c r="CB270" s="277"/>
      <c r="CC270" s="277"/>
      <c r="CD270" s="277"/>
      <c r="CE270" s="277"/>
      <c r="CF270" s="277"/>
      <c r="CG270" s="277"/>
      <c r="CH270" s="277"/>
      <c r="CI270" s="277"/>
      <c r="CJ270" s="277"/>
      <c r="CK270" s="277"/>
      <c r="CL270" s="277"/>
      <c r="CM270" s="277"/>
      <c r="CN270" s="277"/>
      <c r="CO270" s="277"/>
      <c r="CP270" s="277"/>
      <c r="CQ270" s="277"/>
      <c r="CR270" s="277"/>
      <c r="CS270" s="278"/>
    </row>
    <row r="271" spans="66:97" ht="17.399999999999999" customHeight="1" x14ac:dyDescent="0.4">
      <c r="BN271" s="276"/>
      <c r="BO271" s="277"/>
      <c r="BP271" s="277"/>
      <c r="BQ271" s="277"/>
      <c r="BR271" s="277"/>
      <c r="BS271" s="277"/>
      <c r="BT271" s="277"/>
      <c r="BU271" s="277"/>
      <c r="BV271" s="277"/>
      <c r="BW271" s="277"/>
      <c r="BX271" s="277"/>
      <c r="BY271" s="277"/>
      <c r="BZ271" s="277"/>
      <c r="CA271" s="277"/>
      <c r="CB271" s="277"/>
      <c r="CC271" s="277"/>
      <c r="CD271" s="277"/>
      <c r="CE271" s="277"/>
      <c r="CF271" s="277"/>
      <c r="CG271" s="277"/>
      <c r="CH271" s="277"/>
      <c r="CI271" s="277"/>
      <c r="CJ271" s="277"/>
      <c r="CK271" s="277"/>
      <c r="CL271" s="277"/>
      <c r="CM271" s="277"/>
      <c r="CN271" s="277"/>
      <c r="CO271" s="277"/>
      <c r="CP271" s="277"/>
      <c r="CQ271" s="277"/>
      <c r="CR271" s="277"/>
      <c r="CS271" s="278"/>
    </row>
    <row r="272" spans="66:97" ht="17.399999999999999" customHeight="1" x14ac:dyDescent="0.4">
      <c r="BN272" s="276"/>
      <c r="BO272" s="277"/>
      <c r="BP272" s="277"/>
      <c r="BQ272" s="277"/>
      <c r="BR272" s="277"/>
      <c r="BS272" s="277"/>
      <c r="BT272" s="277"/>
      <c r="BU272" s="277"/>
      <c r="BV272" s="277"/>
      <c r="BW272" s="277"/>
      <c r="BX272" s="277"/>
      <c r="BY272" s="277"/>
      <c r="BZ272" s="277"/>
      <c r="CA272" s="277"/>
      <c r="CB272" s="277"/>
      <c r="CC272" s="277"/>
      <c r="CD272" s="277"/>
      <c r="CE272" s="277"/>
      <c r="CF272" s="277"/>
      <c r="CG272" s="277"/>
      <c r="CH272" s="277"/>
      <c r="CI272" s="277"/>
      <c r="CJ272" s="277"/>
      <c r="CK272" s="277"/>
      <c r="CL272" s="277"/>
      <c r="CM272" s="277"/>
      <c r="CN272" s="277"/>
      <c r="CO272" s="277"/>
      <c r="CP272" s="277"/>
      <c r="CQ272" s="277"/>
      <c r="CR272" s="277"/>
      <c r="CS272" s="278"/>
    </row>
    <row r="273" spans="66:97" ht="17.399999999999999" customHeight="1" x14ac:dyDescent="0.4">
      <c r="BN273" s="276"/>
      <c r="BO273" s="277"/>
      <c r="BP273" s="277"/>
      <c r="BQ273" s="277"/>
      <c r="BR273" s="277"/>
      <c r="BS273" s="277"/>
      <c r="BT273" s="277"/>
      <c r="BU273" s="277"/>
      <c r="BV273" s="277"/>
      <c r="BW273" s="277"/>
      <c r="BX273" s="277"/>
      <c r="BY273" s="277"/>
      <c r="BZ273" s="277"/>
      <c r="CA273" s="277"/>
      <c r="CB273" s="277"/>
      <c r="CC273" s="277"/>
      <c r="CD273" s="277"/>
      <c r="CE273" s="277"/>
      <c r="CF273" s="277"/>
      <c r="CG273" s="277"/>
      <c r="CH273" s="277"/>
      <c r="CI273" s="277"/>
      <c r="CJ273" s="277"/>
      <c r="CK273" s="277"/>
      <c r="CL273" s="277"/>
      <c r="CM273" s="277"/>
      <c r="CN273" s="277"/>
      <c r="CO273" s="277"/>
      <c r="CP273" s="277"/>
      <c r="CQ273" s="277"/>
      <c r="CR273" s="277"/>
      <c r="CS273" s="278"/>
    </row>
    <row r="274" spans="66:97" ht="17.399999999999999" customHeight="1" thickBot="1" x14ac:dyDescent="0.45">
      <c r="BN274" s="279"/>
      <c r="BO274" s="280"/>
      <c r="BP274" s="280"/>
      <c r="BQ274" s="280"/>
      <c r="BR274" s="280"/>
      <c r="BS274" s="280"/>
      <c r="BT274" s="280"/>
      <c r="BU274" s="280"/>
      <c r="BV274" s="280"/>
      <c r="BW274" s="280"/>
      <c r="BX274" s="280"/>
      <c r="BY274" s="280"/>
      <c r="BZ274" s="280"/>
      <c r="CA274" s="280"/>
      <c r="CB274" s="280"/>
      <c r="CC274" s="280"/>
      <c r="CD274" s="280"/>
      <c r="CE274" s="280"/>
      <c r="CF274" s="280"/>
      <c r="CG274" s="280"/>
      <c r="CH274" s="280"/>
      <c r="CI274" s="280"/>
      <c r="CJ274" s="280"/>
      <c r="CK274" s="280"/>
      <c r="CL274" s="280"/>
      <c r="CM274" s="280"/>
      <c r="CN274" s="280"/>
      <c r="CO274" s="280"/>
      <c r="CP274" s="280"/>
      <c r="CQ274" s="280"/>
      <c r="CR274" s="280"/>
      <c r="CS274" s="281"/>
    </row>
    <row r="275" spans="66:97" ht="17.399999999999999" customHeight="1" x14ac:dyDescent="0.4"/>
    <row r="276" spans="66:97" ht="17.399999999999999" customHeight="1" x14ac:dyDescent="0.4"/>
    <row r="277" spans="66:97" ht="17.399999999999999" customHeight="1" x14ac:dyDescent="0.4"/>
  </sheetData>
  <mergeCells count="55">
    <mergeCell ref="AO79:AQ80"/>
    <mergeCell ref="L81:AQ82"/>
    <mergeCell ref="W135:X135"/>
    <mergeCell ref="W136:X136"/>
    <mergeCell ref="W137:X137"/>
    <mergeCell ref="W132:Y132"/>
    <mergeCell ref="O135:Q135"/>
    <mergeCell ref="L136:N136"/>
    <mergeCell ref="O136:Q136"/>
    <mergeCell ref="L137:N137"/>
    <mergeCell ref="O137:Q137"/>
    <mergeCell ref="Y135:AA135"/>
    <mergeCell ref="W129:Y129"/>
    <mergeCell ref="L130:N130"/>
    <mergeCell ref="O130:Q130"/>
    <mergeCell ref="Y137:AA137"/>
    <mergeCell ref="Y138:AA138"/>
    <mergeCell ref="Y139:AA139"/>
    <mergeCell ref="W139:X139"/>
    <mergeCell ref="T136:V136"/>
    <mergeCell ref="T137:V137"/>
    <mergeCell ref="W138:X138"/>
    <mergeCell ref="T138:V138"/>
    <mergeCell ref="O129:Q129"/>
    <mergeCell ref="L132:N132"/>
    <mergeCell ref="O132:Q132"/>
    <mergeCell ref="T132:V132"/>
    <mergeCell ref="BN238:CS274"/>
    <mergeCell ref="BN200:CS235"/>
    <mergeCell ref="BN161:CS196"/>
    <mergeCell ref="BN122:CS157"/>
    <mergeCell ref="T130:V130"/>
    <mergeCell ref="W130:Y130"/>
    <mergeCell ref="L131:N131"/>
    <mergeCell ref="O131:Q131"/>
    <mergeCell ref="T131:V131"/>
    <mergeCell ref="W131:Y131"/>
    <mergeCell ref="T139:V139"/>
    <mergeCell ref="Y136:AA136"/>
    <mergeCell ref="BN44:CS79"/>
    <mergeCell ref="BN5:CS40"/>
    <mergeCell ref="L85:AQ120"/>
    <mergeCell ref="BN83:CS118"/>
    <mergeCell ref="R79:T80"/>
    <mergeCell ref="W79:Y80"/>
    <mergeCell ref="AB79:AD80"/>
    <mergeCell ref="H6:AQ41"/>
    <mergeCell ref="AG79:AI80"/>
    <mergeCell ref="AL79:AN80"/>
    <mergeCell ref="L44:AQ78"/>
    <mergeCell ref="L79:Q80"/>
    <mergeCell ref="U79:V80"/>
    <mergeCell ref="Z79:AA80"/>
    <mergeCell ref="AE79:AF80"/>
    <mergeCell ref="AJ79:AK80"/>
  </mergeCells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1BD46-BF6F-4B6C-BC92-15EBD69FCF50}">
  <dimension ref="D3:FJ262"/>
  <sheetViews>
    <sheetView zoomScale="25" zoomScaleNormal="25" workbookViewId="0">
      <selection activeCell="V28" sqref="V28"/>
    </sheetView>
  </sheetViews>
  <sheetFormatPr defaultRowHeight="17.399999999999999" x14ac:dyDescent="0.4"/>
  <cols>
    <col min="22" max="22" width="8.796875" customWidth="1"/>
    <col min="177" max="178" width="8.796875" customWidth="1"/>
  </cols>
  <sheetData>
    <row r="3" spans="4:150" ht="18" thickBot="1" x14ac:dyDescent="0.45"/>
    <row r="4" spans="4:150" ht="17.399999999999999" customHeight="1" x14ac:dyDescent="0.4">
      <c r="I4" s="314" t="s">
        <v>409</v>
      </c>
      <c r="J4" s="315"/>
      <c r="K4" s="315"/>
      <c r="L4" s="315"/>
      <c r="M4" s="315"/>
      <c r="N4" s="316"/>
      <c r="AY4" s="314" t="s">
        <v>412</v>
      </c>
      <c r="AZ4" s="315"/>
      <c r="BA4" s="315"/>
      <c r="BB4" s="315"/>
      <c r="BC4" s="315"/>
      <c r="BD4" s="316"/>
    </row>
    <row r="5" spans="4:150" ht="18" customHeight="1" thickBot="1" x14ac:dyDescent="0.45">
      <c r="I5" s="317"/>
      <c r="J5" s="318"/>
      <c r="K5" s="318"/>
      <c r="L5" s="318"/>
      <c r="M5" s="318"/>
      <c r="N5" s="319"/>
      <c r="O5" s="66"/>
      <c r="AY5" s="317"/>
      <c r="AZ5" s="318"/>
      <c r="BA5" s="318"/>
      <c r="BB5" s="318"/>
      <c r="BC5" s="318"/>
      <c r="BD5" s="319"/>
    </row>
    <row r="6" spans="4:150" ht="18" thickBot="1" x14ac:dyDescent="0.45"/>
    <row r="7" spans="4:150" ht="18" thickBot="1" x14ac:dyDescent="0.45">
      <c r="K7" s="114" t="s">
        <v>404</v>
      </c>
      <c r="L7" s="248"/>
      <c r="Y7" s="195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6"/>
      <c r="BC7" s="195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6"/>
      <c r="DS7" s="195"/>
      <c r="DT7" s="199"/>
      <c r="DU7" s="199"/>
      <c r="DV7" s="199"/>
      <c r="DW7" s="199"/>
      <c r="DX7" s="199"/>
      <c r="DY7" s="199"/>
      <c r="DZ7" s="199"/>
      <c r="EA7" s="199"/>
      <c r="EB7" s="199"/>
      <c r="EC7" s="199"/>
      <c r="ED7" s="199"/>
      <c r="EE7" s="199"/>
      <c r="EF7" s="199"/>
      <c r="EG7" s="199"/>
      <c r="EH7" s="199"/>
      <c r="EI7" s="199"/>
      <c r="EJ7" s="199"/>
      <c r="EK7" s="199"/>
      <c r="EL7" s="199"/>
      <c r="EM7" s="199"/>
      <c r="EN7" s="199"/>
      <c r="EO7" s="199"/>
      <c r="EP7" s="199"/>
      <c r="EQ7" s="199"/>
      <c r="ER7" s="199"/>
      <c r="ES7" s="199"/>
      <c r="ET7" s="196"/>
    </row>
    <row r="8" spans="4:150" x14ac:dyDescent="0.4">
      <c r="Y8" s="174"/>
      <c r="Z8" s="197"/>
      <c r="AA8" s="197"/>
      <c r="AB8" s="197"/>
      <c r="AC8" s="197"/>
      <c r="AD8" s="197"/>
      <c r="AE8" s="197"/>
      <c r="AF8" s="197"/>
      <c r="AG8" s="197"/>
      <c r="AH8" s="197"/>
      <c r="AI8" s="197"/>
      <c r="AJ8" s="197"/>
      <c r="AK8" s="197"/>
      <c r="AL8" s="197"/>
      <c r="AM8" s="197"/>
      <c r="AN8" s="197"/>
      <c r="AO8" s="197"/>
      <c r="AP8" s="197"/>
      <c r="AQ8" s="197"/>
      <c r="AR8" s="197"/>
      <c r="AS8" s="197"/>
      <c r="AT8" s="197"/>
      <c r="AU8" s="197"/>
      <c r="AV8" s="197"/>
      <c r="AW8" s="197"/>
      <c r="AX8" s="197"/>
      <c r="AY8" s="197"/>
      <c r="AZ8" s="175"/>
      <c r="BC8" s="174"/>
      <c r="BD8" s="197"/>
      <c r="BE8" s="197"/>
      <c r="BF8" s="197"/>
      <c r="BG8" s="197"/>
      <c r="BH8" s="197"/>
      <c r="BI8" s="197"/>
      <c r="BJ8" s="197"/>
      <c r="BK8" s="197"/>
      <c r="BL8" s="197"/>
      <c r="BM8" s="197"/>
      <c r="BN8" s="197"/>
      <c r="BO8" s="197"/>
      <c r="BP8" s="197"/>
      <c r="BQ8" s="197"/>
      <c r="BR8" s="197"/>
      <c r="BS8" s="197"/>
      <c r="BT8" s="197"/>
      <c r="BU8" s="197"/>
      <c r="BV8" s="197"/>
      <c r="BW8" s="197"/>
      <c r="BX8" s="197"/>
      <c r="BY8" s="197"/>
      <c r="BZ8" s="197"/>
      <c r="CA8" s="197"/>
      <c r="CB8" s="197"/>
      <c r="CC8" s="197"/>
      <c r="CD8" s="175"/>
      <c r="DS8" s="174"/>
      <c r="DT8" s="197"/>
      <c r="DU8" s="197"/>
      <c r="DV8" s="197"/>
      <c r="DW8" s="197"/>
      <c r="DX8" s="197"/>
      <c r="DY8" s="197"/>
      <c r="DZ8" s="197"/>
      <c r="EA8" s="197"/>
      <c r="EB8" s="197"/>
      <c r="EC8" s="197"/>
      <c r="ED8" s="197"/>
      <c r="EE8" s="197"/>
      <c r="EF8" s="197"/>
      <c r="EG8" s="197"/>
      <c r="EH8" s="197"/>
      <c r="EI8" s="197"/>
      <c r="EJ8" s="197"/>
      <c r="EK8" s="197"/>
      <c r="EL8" s="197"/>
      <c r="EM8" s="197"/>
      <c r="EN8" s="197"/>
      <c r="EO8" s="197"/>
      <c r="EP8" s="197"/>
      <c r="EQ8" s="197"/>
      <c r="ER8" s="197"/>
      <c r="ES8" s="197"/>
      <c r="ET8" s="175"/>
    </row>
    <row r="9" spans="4:150" ht="18" thickBot="1" x14ac:dyDescent="0.45">
      <c r="Y9" s="174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7"/>
      <c r="AK9" s="197"/>
      <c r="AL9" s="197"/>
      <c r="AM9" s="197"/>
      <c r="AN9" s="197"/>
      <c r="AO9" s="197"/>
      <c r="AP9" s="197"/>
      <c r="AQ9" s="197"/>
      <c r="AR9" s="197"/>
      <c r="AS9" s="197"/>
      <c r="AT9" s="197"/>
      <c r="AU9" s="197"/>
      <c r="AV9" s="197"/>
      <c r="AW9" s="197"/>
      <c r="AX9" s="197"/>
      <c r="AY9" s="197"/>
      <c r="AZ9" s="175"/>
      <c r="BC9" s="174"/>
      <c r="BD9" s="197"/>
      <c r="BE9" s="197"/>
      <c r="BF9" s="197"/>
      <c r="BG9" s="197"/>
      <c r="BH9" s="197"/>
      <c r="BI9" s="197"/>
      <c r="BJ9" s="197"/>
      <c r="BK9" s="197"/>
      <c r="BL9" s="197"/>
      <c r="BM9" s="197"/>
      <c r="BN9" s="197"/>
      <c r="BO9" s="197"/>
      <c r="BP9" s="197"/>
      <c r="BQ9" s="197"/>
      <c r="BR9" s="197"/>
      <c r="BS9" s="197"/>
      <c r="BT9" s="197"/>
      <c r="BU9" s="197"/>
      <c r="BV9" s="197"/>
      <c r="BW9" s="197"/>
      <c r="BX9" s="197"/>
      <c r="BY9" s="197"/>
      <c r="BZ9" s="197"/>
      <c r="CA9" s="197"/>
      <c r="CB9" s="197"/>
      <c r="CC9" s="197"/>
      <c r="CD9" s="175"/>
      <c r="DS9" s="174"/>
      <c r="DT9" s="197"/>
      <c r="DU9" s="197"/>
      <c r="DV9" s="197"/>
      <c r="DW9" s="197"/>
      <c r="DX9" s="197"/>
      <c r="DY9" s="197"/>
      <c r="DZ9" s="197"/>
      <c r="EA9" s="197"/>
      <c r="EB9" s="197"/>
      <c r="EC9" s="197"/>
      <c r="ED9" s="197"/>
      <c r="EE9" s="197"/>
      <c r="EF9" s="197"/>
      <c r="EG9" s="197"/>
      <c r="EH9" s="197"/>
      <c r="EI9" s="197"/>
      <c r="EJ9" s="197"/>
      <c r="EK9" s="197"/>
      <c r="EL9" s="197"/>
      <c r="EM9" s="197"/>
      <c r="EN9" s="197"/>
      <c r="EO9" s="197"/>
      <c r="EP9" s="197"/>
      <c r="EQ9" s="197"/>
      <c r="ER9" s="197"/>
      <c r="ES9" s="197"/>
      <c r="ET9" s="175"/>
    </row>
    <row r="10" spans="4:150" ht="18" thickBot="1" x14ac:dyDescent="0.45">
      <c r="P10" s="11"/>
      <c r="Q10" s="114" t="s">
        <v>406</v>
      </c>
      <c r="R10" s="248"/>
      <c r="Y10" s="174"/>
      <c r="Z10" s="197"/>
      <c r="AA10" s="197"/>
      <c r="AB10" s="197"/>
      <c r="AC10" s="197"/>
      <c r="AD10" s="197"/>
      <c r="AE10" s="197"/>
      <c r="AF10" s="197"/>
      <c r="AG10" s="197"/>
      <c r="AH10" s="197"/>
      <c r="AI10" s="197"/>
      <c r="AJ10" s="197"/>
      <c r="AK10" s="197"/>
      <c r="AL10" s="197"/>
      <c r="AM10" s="197"/>
      <c r="AN10" s="197"/>
      <c r="AO10" s="197"/>
      <c r="AP10" s="197"/>
      <c r="AQ10" s="197"/>
      <c r="AR10" s="197"/>
      <c r="AS10" s="197"/>
      <c r="AT10" s="197"/>
      <c r="AU10" s="197"/>
      <c r="AV10" s="197"/>
      <c r="AW10" s="197"/>
      <c r="AX10" s="197"/>
      <c r="AY10" s="197"/>
      <c r="AZ10" s="175"/>
      <c r="BC10" s="174"/>
      <c r="BD10" s="197"/>
      <c r="BE10" s="197"/>
      <c r="BF10" s="197"/>
      <c r="BG10" s="197"/>
      <c r="BH10" s="197"/>
      <c r="BI10" s="197"/>
      <c r="BJ10" s="197"/>
      <c r="BK10" s="197"/>
      <c r="BL10" s="197"/>
      <c r="BM10" s="197"/>
      <c r="BN10" s="197"/>
      <c r="BO10" s="197"/>
      <c r="BP10" s="197"/>
      <c r="BQ10" s="197"/>
      <c r="BR10" s="197"/>
      <c r="BS10" s="197"/>
      <c r="BT10" s="197"/>
      <c r="BU10" s="197"/>
      <c r="BV10" s="197"/>
      <c r="BW10" s="197"/>
      <c r="BX10" s="197"/>
      <c r="BY10" s="197"/>
      <c r="BZ10" s="197"/>
      <c r="CA10" s="197"/>
      <c r="CB10" s="197"/>
      <c r="CC10" s="197"/>
      <c r="CD10" s="175"/>
      <c r="DS10" s="174"/>
      <c r="DT10" s="197"/>
      <c r="DU10" s="197"/>
      <c r="DV10" s="197"/>
      <c r="DW10" s="197"/>
      <c r="DX10" s="197"/>
      <c r="DY10" s="197"/>
      <c r="DZ10" s="197"/>
      <c r="EA10" s="197"/>
      <c r="EB10" s="197"/>
      <c r="EC10" s="197"/>
      <c r="ED10" s="197"/>
      <c r="EE10" s="197"/>
      <c r="EF10" s="197"/>
      <c r="EG10" s="197"/>
      <c r="EH10" s="197"/>
      <c r="EI10" s="197"/>
      <c r="EJ10" s="197"/>
      <c r="EK10" s="197"/>
      <c r="EL10" s="197"/>
      <c r="EM10" s="197"/>
      <c r="EN10" s="197"/>
      <c r="EO10" s="197"/>
      <c r="EP10" s="197"/>
      <c r="EQ10" s="197"/>
      <c r="ER10" s="197"/>
      <c r="ES10" s="197"/>
      <c r="ET10" s="175"/>
    </row>
    <row r="11" spans="4:150" ht="18" thickBot="1" x14ac:dyDescent="0.45">
      <c r="Y11" s="174"/>
      <c r="Z11" s="197"/>
      <c r="AA11" s="197"/>
      <c r="AB11" s="197"/>
      <c r="AC11" s="197"/>
      <c r="AD11" s="197"/>
      <c r="AE11" s="197"/>
      <c r="AF11" s="197"/>
      <c r="AG11" s="197"/>
      <c r="AH11" s="197"/>
      <c r="AI11" s="197"/>
      <c r="AJ11" s="197"/>
      <c r="AK11" s="197"/>
      <c r="AL11" s="197"/>
      <c r="AM11" s="197"/>
      <c r="AN11" s="197"/>
      <c r="AO11" s="197"/>
      <c r="AP11" s="197"/>
      <c r="AQ11" s="197"/>
      <c r="AR11" s="197"/>
      <c r="AS11" s="197"/>
      <c r="AT11" s="197"/>
      <c r="AU11" s="197"/>
      <c r="AV11" s="197"/>
      <c r="AW11" s="197"/>
      <c r="AX11" s="197"/>
      <c r="AY11" s="197"/>
      <c r="AZ11" s="175"/>
      <c r="BC11" s="174"/>
      <c r="BD11" s="197"/>
      <c r="BE11" s="197"/>
      <c r="BF11" s="197"/>
      <c r="BG11" s="197"/>
      <c r="BH11" s="197"/>
      <c r="BI11" s="197"/>
      <c r="BJ11" s="197"/>
      <c r="BK11" s="197"/>
      <c r="BL11" s="197"/>
      <c r="BM11" s="197"/>
      <c r="BN11" s="197"/>
      <c r="BO11" s="197"/>
      <c r="BP11" s="197"/>
      <c r="BQ11" s="197"/>
      <c r="BR11" s="197"/>
      <c r="BS11" s="197"/>
      <c r="BT11" s="197"/>
      <c r="BU11" s="197"/>
      <c r="BV11" s="197"/>
      <c r="BW11" s="197"/>
      <c r="BX11" s="197"/>
      <c r="BY11" s="197"/>
      <c r="BZ11" s="197"/>
      <c r="CA11" s="197"/>
      <c r="CB11" s="197"/>
      <c r="CC11" s="197"/>
      <c r="CD11" s="175"/>
      <c r="DS11" s="174"/>
      <c r="DT11" s="197"/>
      <c r="DU11" s="197"/>
      <c r="DV11" s="197"/>
      <c r="DW11" s="197"/>
      <c r="DX11" s="197"/>
      <c r="DY11" s="197"/>
      <c r="DZ11" s="197"/>
      <c r="EA11" s="197"/>
      <c r="EB11" s="197"/>
      <c r="EC11" s="197"/>
      <c r="ED11" s="197"/>
      <c r="EE11" s="197"/>
      <c r="EF11" s="197"/>
      <c r="EG11" s="197"/>
      <c r="EH11" s="197"/>
      <c r="EI11" s="197"/>
      <c r="EJ11" s="197"/>
      <c r="EK11" s="197"/>
      <c r="EL11" s="197"/>
      <c r="EM11" s="197"/>
      <c r="EN11" s="197"/>
      <c r="EO11" s="197"/>
      <c r="EP11" s="197"/>
      <c r="EQ11" s="197"/>
      <c r="ER11" s="197"/>
      <c r="ES11" s="197"/>
      <c r="ET11" s="175"/>
    </row>
    <row r="12" spans="4:150" ht="18" thickBot="1" x14ac:dyDescent="0.45">
      <c r="Q12" s="114" t="s">
        <v>407</v>
      </c>
      <c r="R12" s="248"/>
      <c r="Y12" s="174"/>
      <c r="Z12" s="197"/>
      <c r="AA12" s="197"/>
      <c r="AB12" s="197"/>
      <c r="AC12" s="197"/>
      <c r="AD12" s="197"/>
      <c r="AE12" s="197"/>
      <c r="AF12" s="197"/>
      <c r="AG12" s="197"/>
      <c r="AH12" s="197"/>
      <c r="AI12" s="197"/>
      <c r="AJ12" s="197"/>
      <c r="AK12" s="197"/>
      <c r="AL12" s="197"/>
      <c r="AM12" s="197"/>
      <c r="AN12" s="197"/>
      <c r="AO12" s="197"/>
      <c r="AP12" s="197"/>
      <c r="AQ12" s="197"/>
      <c r="AR12" s="197"/>
      <c r="AS12" s="197"/>
      <c r="AT12" s="197"/>
      <c r="AU12" s="197"/>
      <c r="AV12" s="197"/>
      <c r="AW12" s="197"/>
      <c r="AX12" s="197"/>
      <c r="AY12" s="197"/>
      <c r="AZ12" s="175"/>
      <c r="BC12" s="174"/>
      <c r="BD12" s="197"/>
      <c r="BE12" s="197"/>
      <c r="BF12" s="197"/>
      <c r="BG12" s="197"/>
      <c r="BH12" s="197"/>
      <c r="BI12" s="197"/>
      <c r="BJ12" s="197"/>
      <c r="BK12" s="197"/>
      <c r="BL12" s="197"/>
      <c r="BM12" s="197"/>
      <c r="BN12" s="197"/>
      <c r="BO12" s="197"/>
      <c r="BP12" s="197"/>
      <c r="BQ12" s="197"/>
      <c r="BR12" s="197"/>
      <c r="BS12" s="197"/>
      <c r="BT12" s="197"/>
      <c r="BU12" s="197"/>
      <c r="BV12" s="197"/>
      <c r="BW12" s="197"/>
      <c r="BX12" s="197"/>
      <c r="BY12" s="197"/>
      <c r="BZ12" s="197"/>
      <c r="CA12" s="197"/>
      <c r="CB12" s="197"/>
      <c r="CC12" s="197"/>
      <c r="CD12" s="175"/>
      <c r="DS12" s="174"/>
      <c r="DT12" s="197"/>
      <c r="DU12" s="197"/>
      <c r="DV12" s="197"/>
      <c r="DW12" s="197"/>
      <c r="DX12" s="197"/>
      <c r="DY12" s="197"/>
      <c r="DZ12" s="197"/>
      <c r="EA12" s="197"/>
      <c r="EB12" s="197"/>
      <c r="EC12" s="197"/>
      <c r="ED12" s="197"/>
      <c r="EE12" s="197"/>
      <c r="EF12" s="197"/>
      <c r="EG12" s="197"/>
      <c r="EH12" s="197"/>
      <c r="EI12" s="197"/>
      <c r="EJ12" s="197"/>
      <c r="EK12" s="197"/>
      <c r="EL12" s="197"/>
      <c r="EM12" s="197"/>
      <c r="EN12" s="197"/>
      <c r="EO12" s="197"/>
      <c r="EP12" s="197"/>
      <c r="EQ12" s="197"/>
      <c r="ER12" s="197"/>
      <c r="ES12" s="197"/>
      <c r="ET12" s="175"/>
    </row>
    <row r="13" spans="4:150" ht="18" thickBot="1" x14ac:dyDescent="0.45">
      <c r="D13" s="114" t="s">
        <v>411</v>
      </c>
      <c r="E13" s="248"/>
      <c r="Q13" s="114" t="s">
        <v>408</v>
      </c>
      <c r="R13" s="248"/>
      <c r="Y13" s="174"/>
      <c r="Z13" s="197"/>
      <c r="AA13" s="197"/>
      <c r="AB13" s="197"/>
      <c r="AC13" s="197"/>
      <c r="AD13" s="197"/>
      <c r="AE13" s="197"/>
      <c r="AF13" s="197"/>
      <c r="AG13" s="197"/>
      <c r="AH13" s="197"/>
      <c r="AI13" s="197"/>
      <c r="AJ13" s="197"/>
      <c r="AK13" s="197"/>
      <c r="AL13" s="197"/>
      <c r="AM13" s="197"/>
      <c r="AN13" s="197"/>
      <c r="AO13" s="197"/>
      <c r="AP13" s="197"/>
      <c r="AQ13" s="197"/>
      <c r="AR13" s="197"/>
      <c r="AS13" s="197"/>
      <c r="AT13" s="197"/>
      <c r="AU13" s="197"/>
      <c r="AV13" s="197"/>
      <c r="AW13" s="197"/>
      <c r="AX13" s="197"/>
      <c r="AY13" s="197"/>
      <c r="AZ13" s="175"/>
      <c r="BC13" s="174"/>
      <c r="BD13" s="197"/>
      <c r="BE13" s="197"/>
      <c r="BF13" s="197"/>
      <c r="BG13" s="197"/>
      <c r="BH13" s="197"/>
      <c r="BI13" s="197"/>
      <c r="BJ13" s="197"/>
      <c r="BK13" s="197"/>
      <c r="BL13" s="197"/>
      <c r="BM13" s="197"/>
      <c r="BN13" s="197"/>
      <c r="BO13" s="197"/>
      <c r="BP13" s="197"/>
      <c r="BQ13" s="197"/>
      <c r="BR13" s="197"/>
      <c r="BS13" s="197"/>
      <c r="BT13" s="197"/>
      <c r="BU13" s="197"/>
      <c r="BV13" s="197"/>
      <c r="BW13" s="197"/>
      <c r="BX13" s="197"/>
      <c r="BY13" s="197"/>
      <c r="BZ13" s="197"/>
      <c r="CA13" s="197"/>
      <c r="CB13" s="197"/>
      <c r="CC13" s="197"/>
      <c r="CD13" s="175"/>
      <c r="DS13" s="174"/>
      <c r="DT13" s="197"/>
      <c r="DU13" s="197"/>
      <c r="DV13" s="197"/>
      <c r="DW13" s="197"/>
      <c r="DX13" s="197"/>
      <c r="DY13" s="197"/>
      <c r="DZ13" s="197"/>
      <c r="EA13" s="197"/>
      <c r="EB13" s="197"/>
      <c r="EC13" s="197"/>
      <c r="ED13" s="197"/>
      <c r="EE13" s="197"/>
      <c r="EF13" s="197"/>
      <c r="EG13" s="197"/>
      <c r="EH13" s="197"/>
      <c r="EI13" s="197"/>
      <c r="EJ13" s="197"/>
      <c r="EK13" s="197"/>
      <c r="EL13" s="197"/>
      <c r="EM13" s="197"/>
      <c r="EN13" s="197"/>
      <c r="EO13" s="197"/>
      <c r="EP13" s="197"/>
      <c r="EQ13" s="197"/>
      <c r="ER13" s="197"/>
      <c r="ES13" s="197"/>
      <c r="ET13" s="175"/>
    </row>
    <row r="14" spans="4:150" x14ac:dyDescent="0.4">
      <c r="Y14" s="174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97"/>
      <c r="AS14" s="197"/>
      <c r="AT14" s="197"/>
      <c r="AU14" s="197"/>
      <c r="AV14" s="197"/>
      <c r="AW14" s="197"/>
      <c r="AX14" s="197"/>
      <c r="AY14" s="197"/>
      <c r="AZ14" s="175"/>
      <c r="BC14" s="174"/>
      <c r="BD14" s="197"/>
      <c r="BE14" s="197"/>
      <c r="BF14" s="197"/>
      <c r="BG14" s="197"/>
      <c r="BH14" s="197"/>
      <c r="BI14" s="197"/>
      <c r="BJ14" s="197"/>
      <c r="BK14" s="197"/>
      <c r="BL14" s="197"/>
      <c r="BM14" s="197"/>
      <c r="BN14" s="197"/>
      <c r="BO14" s="197"/>
      <c r="BP14" s="197"/>
      <c r="BQ14" s="197"/>
      <c r="BR14" s="197"/>
      <c r="BS14" s="197"/>
      <c r="BT14" s="197"/>
      <c r="BU14" s="197"/>
      <c r="BV14" s="197"/>
      <c r="BW14" s="197"/>
      <c r="BX14" s="197"/>
      <c r="BY14" s="197"/>
      <c r="BZ14" s="197"/>
      <c r="CA14" s="197"/>
      <c r="CB14" s="197"/>
      <c r="CC14" s="197"/>
      <c r="CD14" s="175"/>
      <c r="DS14" s="174"/>
      <c r="DT14" s="197"/>
      <c r="DU14" s="197"/>
      <c r="DV14" s="197"/>
      <c r="DW14" s="197"/>
      <c r="DX14" s="197"/>
      <c r="DY14" s="197"/>
      <c r="DZ14" s="197"/>
      <c r="EA14" s="197"/>
      <c r="EB14" s="197"/>
      <c r="EC14" s="197"/>
      <c r="ED14" s="197"/>
      <c r="EE14" s="197"/>
      <c r="EF14" s="197"/>
      <c r="EG14" s="197"/>
      <c r="EH14" s="197"/>
      <c r="EI14" s="197"/>
      <c r="EJ14" s="197"/>
      <c r="EK14" s="197"/>
      <c r="EL14" s="197"/>
      <c r="EM14" s="197"/>
      <c r="EN14" s="197"/>
      <c r="EO14" s="197"/>
      <c r="EP14" s="197"/>
      <c r="EQ14" s="197"/>
      <c r="ER14" s="197"/>
      <c r="ES14" s="197"/>
      <c r="ET14" s="175"/>
    </row>
    <row r="15" spans="4:150" x14ac:dyDescent="0.4">
      <c r="Y15" s="174"/>
      <c r="Z15" s="197"/>
      <c r="AA15" s="197"/>
      <c r="AB15" s="197"/>
      <c r="AC15" s="197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  <c r="AY15" s="197"/>
      <c r="AZ15" s="175"/>
      <c r="BC15" s="174"/>
      <c r="BD15" s="197"/>
      <c r="BE15" s="197"/>
      <c r="BF15" s="197"/>
      <c r="BG15" s="197"/>
      <c r="BH15" s="197"/>
      <c r="BI15" s="197"/>
      <c r="BJ15" s="197"/>
      <c r="BK15" s="197"/>
      <c r="BL15" s="197"/>
      <c r="BM15" s="197"/>
      <c r="BN15" s="197"/>
      <c r="BO15" s="197"/>
      <c r="BP15" s="197"/>
      <c r="BQ15" s="197"/>
      <c r="BR15" s="197"/>
      <c r="BS15" s="197"/>
      <c r="BT15" s="197"/>
      <c r="BU15" s="197"/>
      <c r="BV15" s="197"/>
      <c r="BW15" s="197"/>
      <c r="BX15" s="197"/>
      <c r="BY15" s="197"/>
      <c r="BZ15" s="197"/>
      <c r="CA15" s="197"/>
      <c r="CB15" s="197"/>
      <c r="CC15" s="197"/>
      <c r="CD15" s="175"/>
      <c r="DS15" s="174"/>
      <c r="DT15" s="197"/>
      <c r="DU15" s="197"/>
      <c r="DV15" s="197"/>
      <c r="DW15" s="197"/>
      <c r="DX15" s="197"/>
      <c r="DY15" s="197"/>
      <c r="DZ15" s="197"/>
      <c r="EA15" s="197"/>
      <c r="EB15" s="197"/>
      <c r="EC15" s="197"/>
      <c r="ED15" s="197"/>
      <c r="EE15" s="197"/>
      <c r="EF15" s="197"/>
      <c r="EG15" s="197"/>
      <c r="EH15" s="197"/>
      <c r="EI15" s="197"/>
      <c r="EJ15" s="197"/>
      <c r="EK15" s="197"/>
      <c r="EL15" s="197"/>
      <c r="EM15" s="197"/>
      <c r="EN15" s="197"/>
      <c r="EO15" s="197"/>
      <c r="EP15" s="197"/>
      <c r="EQ15" s="197"/>
      <c r="ER15" s="197"/>
      <c r="ES15" s="197"/>
      <c r="ET15" s="175"/>
    </row>
    <row r="16" spans="4:150" x14ac:dyDescent="0.4">
      <c r="Y16" s="174"/>
      <c r="Z16" s="197"/>
      <c r="AA16" s="197"/>
      <c r="AB16" s="197"/>
      <c r="AC16" s="197"/>
      <c r="AD16" s="197"/>
      <c r="AE16" s="197"/>
      <c r="AF16" s="197"/>
      <c r="AG16" s="197"/>
      <c r="AH16" s="197"/>
      <c r="AI16" s="197"/>
      <c r="AJ16" s="197"/>
      <c r="AK16" s="197"/>
      <c r="AL16" s="197"/>
      <c r="AM16" s="197"/>
      <c r="AN16" s="197"/>
      <c r="AO16" s="197"/>
      <c r="AP16" s="197"/>
      <c r="AQ16" s="197"/>
      <c r="AR16" s="197"/>
      <c r="AS16" s="197"/>
      <c r="AT16" s="197"/>
      <c r="AU16" s="197"/>
      <c r="AV16" s="197"/>
      <c r="AW16" s="197"/>
      <c r="AX16" s="197"/>
      <c r="AY16" s="197"/>
      <c r="AZ16" s="175"/>
      <c r="BC16" s="174"/>
      <c r="BD16" s="197"/>
      <c r="BE16" s="197"/>
      <c r="BF16" s="197"/>
      <c r="BG16" s="197"/>
      <c r="BH16" s="197"/>
      <c r="BI16" s="197"/>
      <c r="BJ16" s="197"/>
      <c r="BK16" s="197"/>
      <c r="BL16" s="197"/>
      <c r="BM16" s="197"/>
      <c r="BN16" s="197"/>
      <c r="BO16" s="197"/>
      <c r="BP16" s="197"/>
      <c r="BQ16" s="197"/>
      <c r="BR16" s="197"/>
      <c r="BS16" s="197"/>
      <c r="BT16" s="197"/>
      <c r="BU16" s="197"/>
      <c r="BV16" s="197"/>
      <c r="BW16" s="197"/>
      <c r="BX16" s="197"/>
      <c r="BY16" s="197"/>
      <c r="BZ16" s="197"/>
      <c r="CA16" s="197"/>
      <c r="CB16" s="197"/>
      <c r="CC16" s="197"/>
      <c r="CD16" s="175"/>
      <c r="DS16" s="174"/>
      <c r="DT16" s="197"/>
      <c r="DU16" s="197"/>
      <c r="DV16" s="197"/>
      <c r="DW16" s="197"/>
      <c r="DX16" s="197"/>
      <c r="DY16" s="197"/>
      <c r="DZ16" s="197"/>
      <c r="EA16" s="197"/>
      <c r="EB16" s="197"/>
      <c r="EC16" s="197"/>
      <c r="ED16" s="197"/>
      <c r="EE16" s="197"/>
      <c r="EF16" s="197"/>
      <c r="EG16" s="197"/>
      <c r="EH16" s="197"/>
      <c r="EI16" s="197"/>
      <c r="EJ16" s="197"/>
      <c r="EK16" s="197"/>
      <c r="EL16" s="197"/>
      <c r="EM16" s="197"/>
      <c r="EN16" s="197"/>
      <c r="EO16" s="197"/>
      <c r="EP16" s="197"/>
      <c r="EQ16" s="197"/>
      <c r="ER16" s="197"/>
      <c r="ES16" s="197"/>
      <c r="ET16" s="175"/>
    </row>
    <row r="17" spans="11:150" x14ac:dyDescent="0.4">
      <c r="Y17" s="174"/>
      <c r="Z17" s="197"/>
      <c r="AA17" s="197"/>
      <c r="AB17" s="197"/>
      <c r="AC17" s="197"/>
      <c r="AD17" s="197"/>
      <c r="AE17" s="197"/>
      <c r="AF17" s="197"/>
      <c r="AG17" s="197"/>
      <c r="AH17" s="197"/>
      <c r="AI17" s="197"/>
      <c r="AJ17" s="197"/>
      <c r="AK17" s="197"/>
      <c r="AL17" s="197"/>
      <c r="AM17" s="197"/>
      <c r="AN17" s="197"/>
      <c r="AO17" s="197"/>
      <c r="AP17" s="197"/>
      <c r="AQ17" s="197"/>
      <c r="AR17" s="197"/>
      <c r="AS17" s="197"/>
      <c r="AT17" s="197"/>
      <c r="AU17" s="197"/>
      <c r="AV17" s="197"/>
      <c r="AW17" s="197"/>
      <c r="AX17" s="197"/>
      <c r="AY17" s="197"/>
      <c r="AZ17" s="175"/>
      <c r="BC17" s="174"/>
      <c r="BD17" s="197"/>
      <c r="BE17" s="197"/>
      <c r="BF17" s="197"/>
      <c r="BG17" s="197"/>
      <c r="BH17" s="197"/>
      <c r="BI17" s="197"/>
      <c r="BJ17" s="197"/>
      <c r="BK17" s="197"/>
      <c r="BL17" s="197"/>
      <c r="BM17" s="197"/>
      <c r="BN17" s="197"/>
      <c r="BO17" s="197"/>
      <c r="BP17" s="197"/>
      <c r="BQ17" s="197"/>
      <c r="BR17" s="197"/>
      <c r="BS17" s="197"/>
      <c r="BT17" s="197"/>
      <c r="BU17" s="197"/>
      <c r="BV17" s="197"/>
      <c r="BW17" s="197"/>
      <c r="BX17" s="197"/>
      <c r="BY17" s="197"/>
      <c r="BZ17" s="197"/>
      <c r="CA17" s="197"/>
      <c r="CB17" s="197"/>
      <c r="CC17" s="197"/>
      <c r="CD17" s="175"/>
      <c r="DS17" s="174"/>
      <c r="DT17" s="197"/>
      <c r="DU17" s="197"/>
      <c r="DV17" s="197"/>
      <c r="DW17" s="197"/>
      <c r="DX17" s="197"/>
      <c r="DY17" s="197"/>
      <c r="DZ17" s="197"/>
      <c r="EA17" s="197"/>
      <c r="EB17" s="197"/>
      <c r="EC17" s="197"/>
      <c r="ED17" s="197"/>
      <c r="EE17" s="197"/>
      <c r="EF17" s="197"/>
      <c r="EG17" s="197"/>
      <c r="EH17" s="197"/>
      <c r="EI17" s="197"/>
      <c r="EJ17" s="197"/>
      <c r="EK17" s="197"/>
      <c r="EL17" s="197"/>
      <c r="EM17" s="197"/>
      <c r="EN17" s="197"/>
      <c r="EO17" s="197"/>
      <c r="EP17" s="197"/>
      <c r="EQ17" s="197"/>
      <c r="ER17" s="197"/>
      <c r="ES17" s="197"/>
      <c r="ET17" s="175"/>
    </row>
    <row r="18" spans="11:150" x14ac:dyDescent="0.4">
      <c r="Y18" s="174"/>
      <c r="Z18" s="197"/>
      <c r="AA18" s="197"/>
      <c r="AB18" s="197"/>
      <c r="AC18" s="197"/>
      <c r="AD18" s="197"/>
      <c r="AE18" s="197"/>
      <c r="AF18" s="197"/>
      <c r="AG18" s="197"/>
      <c r="AH18" s="197"/>
      <c r="AI18" s="197"/>
      <c r="AJ18" s="197"/>
      <c r="AK18" s="197"/>
      <c r="AL18" s="197"/>
      <c r="AM18" s="197"/>
      <c r="AN18" s="197"/>
      <c r="AO18" s="197"/>
      <c r="AP18" s="197"/>
      <c r="AQ18" s="197"/>
      <c r="AR18" s="197"/>
      <c r="AS18" s="197"/>
      <c r="AT18" s="197"/>
      <c r="AU18" s="197"/>
      <c r="AV18" s="197"/>
      <c r="AW18" s="197"/>
      <c r="AX18" s="197"/>
      <c r="AY18" s="197"/>
      <c r="AZ18" s="175"/>
      <c r="BC18" s="174"/>
      <c r="BD18" s="197"/>
      <c r="BE18" s="197"/>
      <c r="BF18" s="197"/>
      <c r="BG18" s="197"/>
      <c r="BH18" s="197"/>
      <c r="BI18" s="197"/>
      <c r="BJ18" s="197"/>
      <c r="BK18" s="197"/>
      <c r="BL18" s="197"/>
      <c r="BM18" s="197"/>
      <c r="BN18" s="197"/>
      <c r="BO18" s="197"/>
      <c r="BP18" s="197"/>
      <c r="BQ18" s="197"/>
      <c r="BR18" s="197"/>
      <c r="BS18" s="197"/>
      <c r="BT18" s="197"/>
      <c r="BU18" s="197"/>
      <c r="BV18" s="197"/>
      <c r="BW18" s="197"/>
      <c r="BX18" s="197"/>
      <c r="BY18" s="197"/>
      <c r="BZ18" s="197"/>
      <c r="CA18" s="197"/>
      <c r="CB18" s="197"/>
      <c r="CC18" s="197"/>
      <c r="CD18" s="175"/>
      <c r="DS18" s="174"/>
      <c r="DT18" s="197"/>
      <c r="DU18" s="197"/>
      <c r="DV18" s="197"/>
      <c r="DW18" s="197"/>
      <c r="DX18" s="197"/>
      <c r="DY18" s="197"/>
      <c r="DZ18" s="197"/>
      <c r="EA18" s="197"/>
      <c r="EB18" s="197"/>
      <c r="EC18" s="197"/>
      <c r="ED18" s="197"/>
      <c r="EE18" s="197"/>
      <c r="EF18" s="197"/>
      <c r="EG18" s="197"/>
      <c r="EH18" s="197"/>
      <c r="EI18" s="197"/>
      <c r="EJ18" s="197"/>
      <c r="EK18" s="197"/>
      <c r="EL18" s="197"/>
      <c r="EM18" s="197"/>
      <c r="EN18" s="197"/>
      <c r="EO18" s="197"/>
      <c r="EP18" s="197"/>
      <c r="EQ18" s="197"/>
      <c r="ER18" s="197"/>
      <c r="ES18" s="197"/>
      <c r="ET18" s="175"/>
    </row>
    <row r="19" spans="11:150" x14ac:dyDescent="0.4">
      <c r="Y19" s="174"/>
      <c r="Z19" s="197"/>
      <c r="AA19" s="197"/>
      <c r="AB19" s="197"/>
      <c r="AC19" s="197"/>
      <c r="AD19" s="197"/>
      <c r="AE19" s="197"/>
      <c r="AF19" s="197"/>
      <c r="AG19" s="197"/>
      <c r="AH19" s="197"/>
      <c r="AI19" s="197"/>
      <c r="AJ19" s="197"/>
      <c r="AK19" s="197"/>
      <c r="AL19" s="197"/>
      <c r="AM19" s="197"/>
      <c r="AN19" s="197"/>
      <c r="AO19" s="197"/>
      <c r="AP19" s="197"/>
      <c r="AQ19" s="197"/>
      <c r="AR19" s="197"/>
      <c r="AS19" s="197"/>
      <c r="AT19" s="197"/>
      <c r="AU19" s="197"/>
      <c r="AV19" s="197"/>
      <c r="AW19" s="197"/>
      <c r="AX19" s="197"/>
      <c r="AY19" s="197"/>
      <c r="AZ19" s="175"/>
      <c r="BC19" s="174"/>
      <c r="BD19" s="197"/>
      <c r="BE19" s="197"/>
      <c r="BF19" s="197"/>
      <c r="BG19" s="197"/>
      <c r="BH19" s="197"/>
      <c r="BI19" s="197"/>
      <c r="BJ19" s="197"/>
      <c r="BK19" s="197"/>
      <c r="BL19" s="197"/>
      <c r="BM19" s="197"/>
      <c r="BN19" s="197"/>
      <c r="BO19" s="197"/>
      <c r="BP19" s="197"/>
      <c r="BQ19" s="197"/>
      <c r="BR19" s="197"/>
      <c r="BS19" s="197"/>
      <c r="BT19" s="197"/>
      <c r="BU19" s="197"/>
      <c r="BV19" s="197"/>
      <c r="BW19" s="197"/>
      <c r="BX19" s="197"/>
      <c r="BY19" s="197"/>
      <c r="BZ19" s="197"/>
      <c r="CA19" s="197"/>
      <c r="CB19" s="197"/>
      <c r="CC19" s="197"/>
      <c r="CD19" s="175"/>
      <c r="DS19" s="174"/>
      <c r="DT19" s="197"/>
      <c r="DU19" s="197"/>
      <c r="DV19" s="197"/>
      <c r="DW19" s="197"/>
      <c r="DX19" s="197"/>
      <c r="DY19" s="197"/>
      <c r="DZ19" s="197"/>
      <c r="EA19" s="197"/>
      <c r="EB19" s="197"/>
      <c r="EC19" s="197"/>
      <c r="ED19" s="197"/>
      <c r="EE19" s="197"/>
      <c r="EF19" s="197"/>
      <c r="EG19" s="197"/>
      <c r="EH19" s="197"/>
      <c r="EI19" s="197"/>
      <c r="EJ19" s="197"/>
      <c r="EK19" s="197"/>
      <c r="EL19" s="197"/>
      <c r="EM19" s="197"/>
      <c r="EN19" s="197"/>
      <c r="EO19" s="197"/>
      <c r="EP19" s="197"/>
      <c r="EQ19" s="197"/>
      <c r="ER19" s="197"/>
      <c r="ES19" s="197"/>
      <c r="ET19" s="175"/>
    </row>
    <row r="20" spans="11:150" x14ac:dyDescent="0.4">
      <c r="Y20" s="174"/>
      <c r="Z20" s="197"/>
      <c r="AA20" s="197"/>
      <c r="AB20" s="197"/>
      <c r="AC20" s="197"/>
      <c r="AD20" s="197"/>
      <c r="AE20" s="197"/>
      <c r="AF20" s="197"/>
      <c r="AG20" s="197"/>
      <c r="AH20" s="197"/>
      <c r="AI20" s="197"/>
      <c r="AJ20" s="197"/>
      <c r="AK20" s="197"/>
      <c r="AL20" s="197"/>
      <c r="AM20" s="197"/>
      <c r="AN20" s="197"/>
      <c r="AO20" s="197"/>
      <c r="AP20" s="197"/>
      <c r="AQ20" s="197"/>
      <c r="AR20" s="197"/>
      <c r="AS20" s="197"/>
      <c r="AT20" s="197"/>
      <c r="AU20" s="197"/>
      <c r="AV20" s="197"/>
      <c r="AW20" s="197"/>
      <c r="AX20" s="197"/>
      <c r="AY20" s="197"/>
      <c r="AZ20" s="175"/>
      <c r="BC20" s="174"/>
      <c r="BD20" s="197"/>
      <c r="BE20" s="197"/>
      <c r="BF20" s="197"/>
      <c r="BG20" s="197"/>
      <c r="BH20" s="197"/>
      <c r="BI20" s="197"/>
      <c r="BJ20" s="197"/>
      <c r="BK20" s="197"/>
      <c r="BL20" s="197"/>
      <c r="BM20" s="197"/>
      <c r="BN20" s="197"/>
      <c r="BO20" s="197"/>
      <c r="BP20" s="197"/>
      <c r="BQ20" s="197"/>
      <c r="BR20" s="197"/>
      <c r="BS20" s="197"/>
      <c r="BT20" s="197"/>
      <c r="BU20" s="197"/>
      <c r="BV20" s="197"/>
      <c r="BW20" s="197"/>
      <c r="BX20" s="197"/>
      <c r="BY20" s="197"/>
      <c r="BZ20" s="197"/>
      <c r="CA20" s="197"/>
      <c r="CB20" s="197"/>
      <c r="CC20" s="197"/>
      <c r="CD20" s="175"/>
      <c r="DS20" s="174"/>
      <c r="DT20" s="197"/>
      <c r="DU20" s="197"/>
      <c r="DV20" s="197"/>
      <c r="DW20" s="197"/>
      <c r="DX20" s="197"/>
      <c r="DY20" s="197"/>
      <c r="DZ20" s="197"/>
      <c r="EA20" s="197"/>
      <c r="EB20" s="197"/>
      <c r="EC20" s="197"/>
      <c r="ED20" s="197"/>
      <c r="EE20" s="197"/>
      <c r="EF20" s="197"/>
      <c r="EG20" s="197"/>
      <c r="EH20" s="197"/>
      <c r="EI20" s="197"/>
      <c r="EJ20" s="197"/>
      <c r="EK20" s="197"/>
      <c r="EL20" s="197"/>
      <c r="EM20" s="197"/>
      <c r="EN20" s="197"/>
      <c r="EO20" s="197"/>
      <c r="EP20" s="197"/>
      <c r="EQ20" s="197"/>
      <c r="ER20" s="197"/>
      <c r="ES20" s="197"/>
      <c r="ET20" s="175"/>
    </row>
    <row r="21" spans="11:150" x14ac:dyDescent="0.4">
      <c r="Y21" s="174"/>
      <c r="Z21" s="197"/>
      <c r="AA21" s="197"/>
      <c r="AB21" s="197"/>
      <c r="AC21" s="197"/>
      <c r="AD21" s="197"/>
      <c r="AE21" s="197"/>
      <c r="AF21" s="197"/>
      <c r="AG21" s="197"/>
      <c r="AH21" s="197"/>
      <c r="AI21" s="197"/>
      <c r="AJ21" s="197"/>
      <c r="AK21" s="197"/>
      <c r="AL21" s="197"/>
      <c r="AM21" s="197"/>
      <c r="AN21" s="197"/>
      <c r="AO21" s="197"/>
      <c r="AP21" s="197"/>
      <c r="AQ21" s="197"/>
      <c r="AR21" s="197"/>
      <c r="AS21" s="197"/>
      <c r="AT21" s="197"/>
      <c r="AU21" s="197"/>
      <c r="AV21" s="197"/>
      <c r="AW21" s="197"/>
      <c r="AX21" s="197"/>
      <c r="AY21" s="197"/>
      <c r="AZ21" s="175"/>
      <c r="BC21" s="174"/>
      <c r="BD21" s="197"/>
      <c r="BE21" s="197"/>
      <c r="BF21" s="197"/>
      <c r="BG21" s="197"/>
      <c r="BH21" s="197"/>
      <c r="BI21" s="197"/>
      <c r="BJ21" s="197"/>
      <c r="BK21" s="197"/>
      <c r="BL21" s="197"/>
      <c r="BM21" s="197"/>
      <c r="BN21" s="197"/>
      <c r="BO21" s="197"/>
      <c r="BP21" s="197"/>
      <c r="BQ21" s="197"/>
      <c r="BR21" s="197"/>
      <c r="BS21" s="197"/>
      <c r="BT21" s="197"/>
      <c r="BU21" s="197"/>
      <c r="BV21" s="197"/>
      <c r="BW21" s="197"/>
      <c r="BX21" s="197"/>
      <c r="BY21" s="197"/>
      <c r="BZ21" s="197"/>
      <c r="CA21" s="197"/>
      <c r="CB21" s="197"/>
      <c r="CC21" s="197"/>
      <c r="CD21" s="175"/>
      <c r="DS21" s="174"/>
      <c r="DT21" s="197"/>
      <c r="DU21" s="197"/>
      <c r="DV21" s="197"/>
      <c r="DW21" s="197"/>
      <c r="DX21" s="197"/>
      <c r="DY21" s="197"/>
      <c r="DZ21" s="197"/>
      <c r="EA21" s="197"/>
      <c r="EB21" s="197"/>
      <c r="EC21" s="197"/>
      <c r="ED21" s="197"/>
      <c r="EE21" s="197"/>
      <c r="EF21" s="197"/>
      <c r="EG21" s="197"/>
      <c r="EH21" s="197"/>
      <c r="EI21" s="197"/>
      <c r="EJ21" s="197"/>
      <c r="EK21" s="197"/>
      <c r="EL21" s="197"/>
      <c r="EM21" s="197"/>
      <c r="EN21" s="197"/>
      <c r="EO21" s="197"/>
      <c r="EP21" s="197"/>
      <c r="EQ21" s="197"/>
      <c r="ER21" s="197"/>
      <c r="ES21" s="197"/>
      <c r="ET21" s="175"/>
    </row>
    <row r="22" spans="11:150" x14ac:dyDescent="0.4">
      <c r="Y22" s="174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  <c r="AM22" s="197"/>
      <c r="AN22" s="197"/>
      <c r="AO22" s="197"/>
      <c r="AP22" s="197"/>
      <c r="AQ22" s="197"/>
      <c r="AR22" s="197"/>
      <c r="AS22" s="197"/>
      <c r="AT22" s="197"/>
      <c r="AU22" s="197"/>
      <c r="AV22" s="197"/>
      <c r="AW22" s="197"/>
      <c r="AX22" s="197"/>
      <c r="AY22" s="197"/>
      <c r="AZ22" s="175"/>
      <c r="BC22" s="174"/>
      <c r="BD22" s="197"/>
      <c r="BE22" s="197"/>
      <c r="BF22" s="197"/>
      <c r="BG22" s="197"/>
      <c r="BH22" s="197"/>
      <c r="BI22" s="197"/>
      <c r="BJ22" s="197"/>
      <c r="BK22" s="197"/>
      <c r="BL22" s="197"/>
      <c r="BM22" s="197"/>
      <c r="BN22" s="197"/>
      <c r="BO22" s="197"/>
      <c r="BP22" s="197"/>
      <c r="BQ22" s="197"/>
      <c r="BR22" s="197"/>
      <c r="BS22" s="197"/>
      <c r="BT22" s="197"/>
      <c r="BU22" s="197"/>
      <c r="BV22" s="197"/>
      <c r="BW22" s="197"/>
      <c r="BX22" s="197"/>
      <c r="BY22" s="197"/>
      <c r="BZ22" s="197"/>
      <c r="CA22" s="197"/>
      <c r="CB22" s="197"/>
      <c r="CC22" s="197"/>
      <c r="CD22" s="175"/>
      <c r="DS22" s="174"/>
      <c r="DT22" s="197"/>
      <c r="DU22" s="197"/>
      <c r="DV22" s="197"/>
      <c r="DW22" s="197"/>
      <c r="DX22" s="197"/>
      <c r="DY22" s="197"/>
      <c r="DZ22" s="197"/>
      <c r="EA22" s="197"/>
      <c r="EB22" s="197"/>
      <c r="EC22" s="197"/>
      <c r="ED22" s="197"/>
      <c r="EE22" s="197"/>
      <c r="EF22" s="197"/>
      <c r="EG22" s="197"/>
      <c r="EH22" s="197"/>
      <c r="EI22" s="197"/>
      <c r="EJ22" s="197"/>
      <c r="EK22" s="197"/>
      <c r="EL22" s="197"/>
      <c r="EM22" s="197"/>
      <c r="EN22" s="197"/>
      <c r="EO22" s="197"/>
      <c r="EP22" s="197"/>
      <c r="EQ22" s="197"/>
      <c r="ER22" s="197"/>
      <c r="ES22" s="197"/>
      <c r="ET22" s="175"/>
    </row>
    <row r="23" spans="11:150" x14ac:dyDescent="0.4">
      <c r="Y23" s="174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7"/>
      <c r="AL23" s="197"/>
      <c r="AM23" s="197"/>
      <c r="AN23" s="197"/>
      <c r="AO23" s="197"/>
      <c r="AP23" s="197"/>
      <c r="AQ23" s="197"/>
      <c r="AR23" s="197"/>
      <c r="AS23" s="197"/>
      <c r="AT23" s="197"/>
      <c r="AU23" s="197"/>
      <c r="AV23" s="197"/>
      <c r="AW23" s="197"/>
      <c r="AX23" s="197"/>
      <c r="AY23" s="197"/>
      <c r="AZ23" s="175"/>
      <c r="BC23" s="174"/>
      <c r="BD23" s="197"/>
      <c r="BE23" s="197"/>
      <c r="BF23" s="197"/>
      <c r="BG23" s="197"/>
      <c r="BH23" s="197"/>
      <c r="BI23" s="197"/>
      <c r="BJ23" s="197"/>
      <c r="BK23" s="197"/>
      <c r="BL23" s="197"/>
      <c r="BM23" s="197"/>
      <c r="BN23" s="197"/>
      <c r="BO23" s="197"/>
      <c r="BP23" s="197"/>
      <c r="BQ23" s="197"/>
      <c r="BR23" s="197"/>
      <c r="BS23" s="197"/>
      <c r="BT23" s="197"/>
      <c r="BU23" s="197"/>
      <c r="BV23" s="197"/>
      <c r="BW23" s="197"/>
      <c r="BX23" s="197"/>
      <c r="BY23" s="197"/>
      <c r="BZ23" s="197"/>
      <c r="CA23" s="197"/>
      <c r="CB23" s="197"/>
      <c r="CC23" s="197"/>
      <c r="CD23" s="175"/>
      <c r="DS23" s="174"/>
      <c r="DT23" s="197"/>
      <c r="DU23" s="197"/>
      <c r="DV23" s="197"/>
      <c r="DW23" s="197"/>
      <c r="DX23" s="197"/>
      <c r="DY23" s="197"/>
      <c r="DZ23" s="197"/>
      <c r="EA23" s="197"/>
      <c r="EB23" s="197"/>
      <c r="EC23" s="197"/>
      <c r="ED23" s="197"/>
      <c r="EE23" s="197"/>
      <c r="EF23" s="197"/>
      <c r="EG23" s="197"/>
      <c r="EH23" s="197"/>
      <c r="EI23" s="197"/>
      <c r="EJ23" s="197"/>
      <c r="EK23" s="197"/>
      <c r="EL23" s="197"/>
      <c r="EM23" s="197"/>
      <c r="EN23" s="197"/>
      <c r="EO23" s="197"/>
      <c r="EP23" s="197"/>
      <c r="EQ23" s="197"/>
      <c r="ER23" s="197"/>
      <c r="ES23" s="197"/>
      <c r="ET23" s="175"/>
    </row>
    <row r="24" spans="11:150" x14ac:dyDescent="0.4">
      <c r="Y24" s="174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  <c r="AM24" s="197"/>
      <c r="AN24" s="197"/>
      <c r="AO24" s="197"/>
      <c r="AP24" s="197"/>
      <c r="AQ24" s="197"/>
      <c r="AR24" s="197"/>
      <c r="AS24" s="197"/>
      <c r="AT24" s="197"/>
      <c r="AU24" s="197"/>
      <c r="AV24" s="197"/>
      <c r="AW24" s="197"/>
      <c r="AX24" s="197"/>
      <c r="AY24" s="197"/>
      <c r="AZ24" s="175"/>
      <c r="BC24" s="174"/>
      <c r="BD24" s="197"/>
      <c r="BE24" s="197"/>
      <c r="BF24" s="197"/>
      <c r="BG24" s="197"/>
      <c r="BH24" s="197"/>
      <c r="BI24" s="197"/>
      <c r="BJ24" s="197"/>
      <c r="BK24" s="197"/>
      <c r="BL24" s="197"/>
      <c r="BM24" s="197"/>
      <c r="BN24" s="197"/>
      <c r="BO24" s="197"/>
      <c r="BP24" s="197"/>
      <c r="BQ24" s="197"/>
      <c r="BR24" s="197"/>
      <c r="BS24" s="197"/>
      <c r="BT24" s="197"/>
      <c r="BU24" s="197"/>
      <c r="BV24" s="197"/>
      <c r="BW24" s="197"/>
      <c r="BX24" s="197"/>
      <c r="BY24" s="197"/>
      <c r="BZ24" s="197"/>
      <c r="CA24" s="197"/>
      <c r="CB24" s="197"/>
      <c r="CC24" s="197"/>
      <c r="CD24" s="175"/>
      <c r="DS24" s="174"/>
      <c r="DT24" s="197"/>
      <c r="DU24" s="197"/>
      <c r="DV24" s="197"/>
      <c r="DW24" s="197"/>
      <c r="DX24" s="197"/>
      <c r="DY24" s="197"/>
      <c r="DZ24" s="197"/>
      <c r="EA24" s="197"/>
      <c r="EB24" s="197"/>
      <c r="EC24" s="197"/>
      <c r="ED24" s="197"/>
      <c r="EE24" s="197"/>
      <c r="EF24" s="197"/>
      <c r="EG24" s="197"/>
      <c r="EH24" s="197"/>
      <c r="EI24" s="197"/>
      <c r="EJ24" s="197"/>
      <c r="EK24" s="197"/>
      <c r="EL24" s="197"/>
      <c r="EM24" s="197"/>
      <c r="EN24" s="197"/>
      <c r="EO24" s="197"/>
      <c r="EP24" s="197"/>
      <c r="EQ24" s="197"/>
      <c r="ER24" s="197"/>
      <c r="ES24" s="197"/>
      <c r="ET24" s="175"/>
    </row>
    <row r="25" spans="11:150" x14ac:dyDescent="0.4">
      <c r="Y25" s="174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  <c r="AP25" s="197"/>
      <c r="AQ25" s="197"/>
      <c r="AR25" s="197"/>
      <c r="AS25" s="197"/>
      <c r="AT25" s="197"/>
      <c r="AU25" s="197"/>
      <c r="AV25" s="197"/>
      <c r="AW25" s="197"/>
      <c r="AX25" s="197"/>
      <c r="AY25" s="197"/>
      <c r="AZ25" s="175"/>
      <c r="BC25" s="174"/>
      <c r="BD25" s="197"/>
      <c r="BE25" s="197"/>
      <c r="BF25" s="197"/>
      <c r="BG25" s="197"/>
      <c r="BH25" s="197"/>
      <c r="BI25" s="197"/>
      <c r="BJ25" s="197"/>
      <c r="BK25" s="197"/>
      <c r="BL25" s="197"/>
      <c r="BM25" s="197"/>
      <c r="BN25" s="197"/>
      <c r="BO25" s="197"/>
      <c r="BP25" s="197"/>
      <c r="BQ25" s="197"/>
      <c r="BR25" s="197"/>
      <c r="BS25" s="197"/>
      <c r="BT25" s="197"/>
      <c r="BU25" s="197"/>
      <c r="BV25" s="197"/>
      <c r="BW25" s="197"/>
      <c r="BX25" s="197"/>
      <c r="BY25" s="197"/>
      <c r="BZ25" s="197"/>
      <c r="CA25" s="197"/>
      <c r="CB25" s="197"/>
      <c r="CC25" s="197"/>
      <c r="CD25" s="175"/>
      <c r="DS25" s="174"/>
      <c r="DT25" s="197"/>
      <c r="DU25" s="197"/>
      <c r="DV25" s="197"/>
      <c r="DW25" s="197"/>
      <c r="DX25" s="197"/>
      <c r="DY25" s="197"/>
      <c r="DZ25" s="197"/>
      <c r="EA25" s="197"/>
      <c r="EB25" s="197"/>
      <c r="EC25" s="197"/>
      <c r="ED25" s="197"/>
      <c r="EE25" s="197"/>
      <c r="EF25" s="197"/>
      <c r="EG25" s="197"/>
      <c r="EH25" s="197"/>
      <c r="EI25" s="197"/>
      <c r="EJ25" s="197"/>
      <c r="EK25" s="197"/>
      <c r="EL25" s="197"/>
      <c r="EM25" s="197"/>
      <c r="EN25" s="197"/>
      <c r="EO25" s="197"/>
      <c r="EP25" s="197"/>
      <c r="EQ25" s="197"/>
      <c r="ER25" s="197"/>
      <c r="ES25" s="197"/>
      <c r="ET25" s="175"/>
    </row>
    <row r="26" spans="11:150" x14ac:dyDescent="0.4">
      <c r="Y26" s="174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175"/>
      <c r="BC26" s="174"/>
      <c r="BD26" s="197"/>
      <c r="BE26" s="197"/>
      <c r="BF26" s="197"/>
      <c r="BG26" s="197"/>
      <c r="BH26" s="197"/>
      <c r="BI26" s="197"/>
      <c r="BJ26" s="197"/>
      <c r="BK26" s="197"/>
      <c r="BL26" s="197"/>
      <c r="BM26" s="197"/>
      <c r="BN26" s="197"/>
      <c r="BO26" s="197"/>
      <c r="BP26" s="197"/>
      <c r="BQ26" s="197"/>
      <c r="BR26" s="197"/>
      <c r="BS26" s="197"/>
      <c r="BT26" s="197"/>
      <c r="BU26" s="197"/>
      <c r="BV26" s="197"/>
      <c r="BW26" s="197"/>
      <c r="BX26" s="197"/>
      <c r="BY26" s="197"/>
      <c r="BZ26" s="197"/>
      <c r="CA26" s="197"/>
      <c r="CB26" s="197"/>
      <c r="CC26" s="197"/>
      <c r="CD26" s="175"/>
      <c r="DS26" s="174"/>
      <c r="DT26" s="197"/>
      <c r="DU26" s="197"/>
      <c r="DV26" s="197"/>
      <c r="DW26" s="197"/>
      <c r="DX26" s="197"/>
      <c r="DY26" s="197"/>
      <c r="DZ26" s="197"/>
      <c r="EA26" s="197"/>
      <c r="EB26" s="197"/>
      <c r="EC26" s="197"/>
      <c r="ED26" s="197"/>
      <c r="EE26" s="197"/>
      <c r="EF26" s="197"/>
      <c r="EG26" s="197"/>
      <c r="EH26" s="197"/>
      <c r="EI26" s="197"/>
      <c r="EJ26" s="197"/>
      <c r="EK26" s="197"/>
      <c r="EL26" s="197"/>
      <c r="EM26" s="197"/>
      <c r="EN26" s="197"/>
      <c r="EO26" s="197"/>
      <c r="EP26" s="197"/>
      <c r="EQ26" s="197"/>
      <c r="ER26" s="197"/>
      <c r="ES26" s="197"/>
      <c r="ET26" s="175"/>
    </row>
    <row r="27" spans="11:150" ht="18" thickBot="1" x14ac:dyDescent="0.45">
      <c r="Y27" s="174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Q27" s="197"/>
      <c r="AR27" s="197"/>
      <c r="AS27" s="197"/>
      <c r="AT27" s="197"/>
      <c r="AU27" s="197"/>
      <c r="AV27" s="197"/>
      <c r="AW27" s="197"/>
      <c r="AX27" s="197"/>
      <c r="AY27" s="197"/>
      <c r="AZ27" s="175"/>
      <c r="BC27" s="174"/>
      <c r="BD27" s="197"/>
      <c r="BE27" s="197"/>
      <c r="BF27" s="197"/>
      <c r="BG27" s="197"/>
      <c r="BH27" s="197"/>
      <c r="BI27" s="197"/>
      <c r="BJ27" s="197"/>
      <c r="BK27" s="197"/>
      <c r="BL27" s="197"/>
      <c r="BM27" s="197"/>
      <c r="BN27" s="197"/>
      <c r="BO27" s="197"/>
      <c r="BP27" s="197"/>
      <c r="BQ27" s="197"/>
      <c r="BR27" s="197"/>
      <c r="BS27" s="197"/>
      <c r="BT27" s="197"/>
      <c r="BU27" s="197"/>
      <c r="BV27" s="197"/>
      <c r="BW27" s="197"/>
      <c r="BX27" s="197"/>
      <c r="BY27" s="197"/>
      <c r="BZ27" s="197"/>
      <c r="CA27" s="197"/>
      <c r="CB27" s="197"/>
      <c r="CC27" s="197"/>
      <c r="CD27" s="175"/>
      <c r="DS27" s="174"/>
      <c r="DT27" s="197"/>
      <c r="DU27" s="197"/>
      <c r="DV27" s="197"/>
      <c r="DW27" s="197"/>
      <c r="DX27" s="197"/>
      <c r="DY27" s="197"/>
      <c r="DZ27" s="197"/>
      <c r="EA27" s="197"/>
      <c r="EB27" s="197"/>
      <c r="EC27" s="197"/>
      <c r="ED27" s="197"/>
      <c r="EE27" s="197"/>
      <c r="EF27" s="197"/>
      <c r="EG27" s="197"/>
      <c r="EH27" s="197"/>
      <c r="EI27" s="197"/>
      <c r="EJ27" s="197"/>
      <c r="EK27" s="197"/>
      <c r="EL27" s="197"/>
      <c r="EM27" s="197"/>
      <c r="EN27" s="197"/>
      <c r="EO27" s="197"/>
      <c r="EP27" s="197"/>
      <c r="EQ27" s="197"/>
      <c r="ER27" s="197"/>
      <c r="ES27" s="197"/>
      <c r="ET27" s="175"/>
    </row>
    <row r="28" spans="11:150" ht="18" thickBot="1" x14ac:dyDescent="0.45">
      <c r="K28" s="114" t="s">
        <v>405</v>
      </c>
      <c r="L28" s="248"/>
      <c r="Y28" s="193"/>
      <c r="Z28" s="313"/>
      <c r="AA28" s="313"/>
      <c r="AB28" s="313"/>
      <c r="AC28" s="313"/>
      <c r="AD28" s="313"/>
      <c r="AE28" s="313"/>
      <c r="AF28" s="313"/>
      <c r="AG28" s="313"/>
      <c r="AH28" s="313"/>
      <c r="AI28" s="313"/>
      <c r="AJ28" s="313"/>
      <c r="AK28" s="313"/>
      <c r="AL28" s="313"/>
      <c r="AM28" s="313"/>
      <c r="AN28" s="313"/>
      <c r="AO28" s="313"/>
      <c r="AP28" s="313"/>
      <c r="AQ28" s="313"/>
      <c r="AR28" s="313"/>
      <c r="AS28" s="313"/>
      <c r="AT28" s="313"/>
      <c r="AU28" s="313"/>
      <c r="AV28" s="313"/>
      <c r="AW28" s="313"/>
      <c r="AX28" s="313"/>
      <c r="AY28" s="313"/>
      <c r="AZ28" s="194"/>
      <c r="BC28" s="193"/>
      <c r="BD28" s="313"/>
      <c r="BE28" s="313"/>
      <c r="BF28" s="313"/>
      <c r="BG28" s="313"/>
      <c r="BH28" s="313"/>
      <c r="BI28" s="313"/>
      <c r="BJ28" s="313"/>
      <c r="BK28" s="313"/>
      <c r="BL28" s="313"/>
      <c r="BM28" s="313"/>
      <c r="BN28" s="313"/>
      <c r="BO28" s="313"/>
      <c r="BP28" s="313"/>
      <c r="BQ28" s="313"/>
      <c r="BR28" s="313"/>
      <c r="BS28" s="313"/>
      <c r="BT28" s="313"/>
      <c r="BU28" s="313"/>
      <c r="BV28" s="313"/>
      <c r="BW28" s="313"/>
      <c r="BX28" s="313"/>
      <c r="BY28" s="313"/>
      <c r="BZ28" s="313"/>
      <c r="CA28" s="313"/>
      <c r="CB28" s="313"/>
      <c r="CC28" s="313"/>
      <c r="CD28" s="194"/>
      <c r="DS28" s="193"/>
      <c r="DT28" s="313"/>
      <c r="DU28" s="313"/>
      <c r="DV28" s="313"/>
      <c r="DW28" s="313"/>
      <c r="DX28" s="313"/>
      <c r="DY28" s="313"/>
      <c r="DZ28" s="313"/>
      <c r="EA28" s="313"/>
      <c r="EB28" s="313"/>
      <c r="EC28" s="313"/>
      <c r="ED28" s="313"/>
      <c r="EE28" s="313"/>
      <c r="EF28" s="313"/>
      <c r="EG28" s="313"/>
      <c r="EH28" s="313"/>
      <c r="EI28" s="313"/>
      <c r="EJ28" s="313"/>
      <c r="EK28" s="313"/>
      <c r="EL28" s="313"/>
      <c r="EM28" s="313"/>
      <c r="EN28" s="313"/>
      <c r="EO28" s="313"/>
      <c r="EP28" s="313"/>
      <c r="EQ28" s="313"/>
      <c r="ER28" s="313"/>
      <c r="ES28" s="313"/>
      <c r="ET28" s="194"/>
    </row>
    <row r="30" spans="11:150" ht="18" thickBot="1" x14ac:dyDescent="0.45"/>
    <row r="31" spans="11:150" x14ac:dyDescent="0.4">
      <c r="Y31" s="195"/>
      <c r="Z31" s="199"/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  <c r="AS31" s="199"/>
      <c r="AT31" s="199"/>
      <c r="AU31" s="199"/>
      <c r="AV31" s="199"/>
      <c r="AW31" s="199"/>
      <c r="AX31" s="199"/>
      <c r="AY31" s="199"/>
      <c r="AZ31" s="196"/>
      <c r="BC31" s="195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6"/>
    </row>
    <row r="32" spans="11:150" x14ac:dyDescent="0.4">
      <c r="Y32" s="174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97"/>
      <c r="AK32" s="197"/>
      <c r="AL32" s="197"/>
      <c r="AM32" s="197"/>
      <c r="AN32" s="197"/>
      <c r="AO32" s="197"/>
      <c r="AP32" s="197"/>
      <c r="AQ32" s="197"/>
      <c r="AR32" s="197"/>
      <c r="AS32" s="197"/>
      <c r="AT32" s="197"/>
      <c r="AU32" s="197"/>
      <c r="AV32" s="197"/>
      <c r="AW32" s="197"/>
      <c r="AX32" s="197"/>
      <c r="AY32" s="197"/>
      <c r="AZ32" s="175"/>
      <c r="BC32" s="174"/>
      <c r="BD32" s="197"/>
      <c r="BE32" s="197"/>
      <c r="BF32" s="197"/>
      <c r="BG32" s="197"/>
      <c r="BH32" s="197"/>
      <c r="BI32" s="197"/>
      <c r="BJ32" s="197"/>
      <c r="BK32" s="197"/>
      <c r="BL32" s="197"/>
      <c r="BM32" s="197"/>
      <c r="BN32" s="197"/>
      <c r="BO32" s="197"/>
      <c r="BP32" s="197"/>
      <c r="BQ32" s="197"/>
      <c r="BR32" s="197"/>
      <c r="BS32" s="197"/>
      <c r="BT32" s="197"/>
      <c r="BU32" s="197"/>
      <c r="BV32" s="197"/>
      <c r="BW32" s="197"/>
      <c r="BX32" s="197"/>
      <c r="BY32" s="197"/>
      <c r="BZ32" s="197"/>
      <c r="CA32" s="197"/>
      <c r="CB32" s="197"/>
      <c r="CC32" s="197"/>
      <c r="CD32" s="175"/>
    </row>
    <row r="33" spans="25:134" x14ac:dyDescent="0.4">
      <c r="Y33" s="174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7"/>
      <c r="AR33" s="197"/>
      <c r="AS33" s="197"/>
      <c r="AT33" s="197"/>
      <c r="AU33" s="197"/>
      <c r="AV33" s="197"/>
      <c r="AW33" s="197"/>
      <c r="AX33" s="197"/>
      <c r="AY33" s="197"/>
      <c r="AZ33" s="175"/>
      <c r="BC33" s="174"/>
      <c r="BD33" s="197"/>
      <c r="BE33" s="197"/>
      <c r="BF33" s="197"/>
      <c r="BG33" s="197"/>
      <c r="BH33" s="197"/>
      <c r="BI33" s="197"/>
      <c r="BJ33" s="197"/>
      <c r="BK33" s="197"/>
      <c r="BL33" s="197"/>
      <c r="BM33" s="197"/>
      <c r="BN33" s="197"/>
      <c r="BO33" s="197"/>
      <c r="BP33" s="197"/>
      <c r="BQ33" s="197"/>
      <c r="BR33" s="197"/>
      <c r="BS33" s="197"/>
      <c r="BT33" s="197"/>
      <c r="BU33" s="197"/>
      <c r="BV33" s="197"/>
      <c r="BW33" s="197"/>
      <c r="BX33" s="197"/>
      <c r="BY33" s="197"/>
      <c r="BZ33" s="197"/>
      <c r="CA33" s="197"/>
      <c r="CB33" s="197"/>
      <c r="CC33" s="197"/>
      <c r="CD33" s="175"/>
    </row>
    <row r="34" spans="25:134" ht="18" thickBot="1" x14ac:dyDescent="0.45">
      <c r="Y34" s="174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  <c r="AL34" s="197"/>
      <c r="AM34" s="197"/>
      <c r="AN34" s="197"/>
      <c r="AO34" s="197"/>
      <c r="AP34" s="197"/>
      <c r="AQ34" s="197"/>
      <c r="AR34" s="197"/>
      <c r="AS34" s="197"/>
      <c r="AT34" s="197"/>
      <c r="AU34" s="197"/>
      <c r="AV34" s="197"/>
      <c r="AW34" s="197"/>
      <c r="AX34" s="197"/>
      <c r="AY34" s="197"/>
      <c r="AZ34" s="175"/>
      <c r="BC34" s="174"/>
      <c r="BD34" s="197"/>
      <c r="BE34" s="197"/>
      <c r="BF34" s="197"/>
      <c r="BG34" s="197"/>
      <c r="BH34" s="197"/>
      <c r="BI34" s="197"/>
      <c r="BJ34" s="197"/>
      <c r="BK34" s="197"/>
      <c r="BL34" s="197"/>
      <c r="BM34" s="197"/>
      <c r="BN34" s="197"/>
      <c r="BO34" s="197"/>
      <c r="BP34" s="197"/>
      <c r="BQ34" s="197"/>
      <c r="BR34" s="197"/>
      <c r="BS34" s="197"/>
      <c r="BT34" s="197"/>
      <c r="BU34" s="197"/>
      <c r="BV34" s="197"/>
      <c r="BW34" s="197"/>
      <c r="BX34" s="197"/>
      <c r="BY34" s="197"/>
      <c r="BZ34" s="197"/>
      <c r="CA34" s="197"/>
      <c r="CB34" s="197"/>
      <c r="CC34" s="197"/>
      <c r="CD34" s="175"/>
    </row>
    <row r="35" spans="25:134" x14ac:dyDescent="0.4">
      <c r="Y35" s="174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  <c r="AM35" s="197"/>
      <c r="AN35" s="197"/>
      <c r="AO35" s="197"/>
      <c r="AP35" s="197"/>
      <c r="AQ35" s="197"/>
      <c r="AR35" s="197"/>
      <c r="AS35" s="197"/>
      <c r="AT35" s="197"/>
      <c r="AU35" s="197"/>
      <c r="AV35" s="197"/>
      <c r="AW35" s="197"/>
      <c r="AX35" s="197"/>
      <c r="AY35" s="197"/>
      <c r="AZ35" s="175"/>
      <c r="BC35" s="174"/>
      <c r="BD35" s="197"/>
      <c r="BE35" s="197"/>
      <c r="BF35" s="197"/>
      <c r="BG35" s="197"/>
      <c r="BH35" s="197"/>
      <c r="BI35" s="197"/>
      <c r="BJ35" s="197"/>
      <c r="BK35" s="197"/>
      <c r="BL35" s="197"/>
      <c r="BM35" s="197"/>
      <c r="BN35" s="197"/>
      <c r="BO35" s="197"/>
      <c r="BP35" s="197"/>
      <c r="BQ35" s="197"/>
      <c r="BR35" s="197"/>
      <c r="BS35" s="197"/>
      <c r="BT35" s="197"/>
      <c r="BU35" s="197"/>
      <c r="BV35" s="197"/>
      <c r="BW35" s="197"/>
      <c r="BX35" s="197"/>
      <c r="BY35" s="197"/>
      <c r="BZ35" s="197"/>
      <c r="CA35" s="197"/>
      <c r="CB35" s="197"/>
      <c r="CC35" s="197"/>
      <c r="CD35" s="175"/>
      <c r="DC35" s="195"/>
      <c r="DD35" s="199"/>
      <c r="DE35" s="199"/>
      <c r="DF35" s="199"/>
      <c r="DG35" s="199"/>
      <c r="DH35" s="199"/>
      <c r="DI35" s="199"/>
      <c r="DJ35" s="199"/>
      <c r="DK35" s="199"/>
      <c r="DL35" s="199"/>
      <c r="DM35" s="199"/>
      <c r="DN35" s="199"/>
      <c r="DO35" s="199"/>
      <c r="DP35" s="199"/>
      <c r="DQ35" s="199"/>
      <c r="DR35" s="199"/>
      <c r="DS35" s="199"/>
      <c r="DT35" s="199"/>
      <c r="DU35" s="199"/>
      <c r="DV35" s="199"/>
      <c r="DW35" s="199"/>
      <c r="DX35" s="199"/>
      <c r="DY35" s="199"/>
      <c r="DZ35" s="199"/>
      <c r="EA35" s="199"/>
      <c r="EB35" s="199"/>
      <c r="EC35" s="199"/>
      <c r="ED35" s="196"/>
    </row>
    <row r="36" spans="25:134" x14ac:dyDescent="0.4">
      <c r="Y36" s="174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  <c r="AL36" s="197"/>
      <c r="AM36" s="197"/>
      <c r="AN36" s="197"/>
      <c r="AO36" s="197"/>
      <c r="AP36" s="197"/>
      <c r="AQ36" s="197"/>
      <c r="AR36" s="197"/>
      <c r="AS36" s="197"/>
      <c r="AT36" s="197"/>
      <c r="AU36" s="197"/>
      <c r="AV36" s="197"/>
      <c r="AW36" s="197"/>
      <c r="AX36" s="197"/>
      <c r="AY36" s="197"/>
      <c r="AZ36" s="175"/>
      <c r="BC36" s="174"/>
      <c r="BD36" s="197"/>
      <c r="BE36" s="197"/>
      <c r="BF36" s="197"/>
      <c r="BG36" s="197"/>
      <c r="BH36" s="197"/>
      <c r="BI36" s="197"/>
      <c r="BJ36" s="197"/>
      <c r="BK36" s="197"/>
      <c r="BL36" s="197"/>
      <c r="BM36" s="197"/>
      <c r="BN36" s="197"/>
      <c r="BO36" s="197"/>
      <c r="BP36" s="197"/>
      <c r="BQ36" s="197"/>
      <c r="BR36" s="197"/>
      <c r="BS36" s="197"/>
      <c r="BT36" s="197"/>
      <c r="BU36" s="197"/>
      <c r="BV36" s="197"/>
      <c r="BW36" s="197"/>
      <c r="BX36" s="197"/>
      <c r="BY36" s="197"/>
      <c r="BZ36" s="197"/>
      <c r="CA36" s="197"/>
      <c r="CB36" s="197"/>
      <c r="CC36" s="197"/>
      <c r="CD36" s="175"/>
      <c r="DC36" s="174"/>
      <c r="DD36" s="197"/>
      <c r="DE36" s="197"/>
      <c r="DF36" s="197"/>
      <c r="DG36" s="197"/>
      <c r="DH36" s="197"/>
      <c r="DI36" s="197"/>
      <c r="DJ36" s="197"/>
      <c r="DK36" s="197"/>
      <c r="DL36" s="197"/>
      <c r="DM36" s="197"/>
      <c r="DN36" s="197"/>
      <c r="DO36" s="197"/>
      <c r="DP36" s="197"/>
      <c r="DQ36" s="197"/>
      <c r="DR36" s="197"/>
      <c r="DS36" s="197"/>
      <c r="DT36" s="197"/>
      <c r="DU36" s="197"/>
      <c r="DV36" s="197"/>
      <c r="DW36" s="197"/>
      <c r="DX36" s="197"/>
      <c r="DY36" s="197"/>
      <c r="DZ36" s="197"/>
      <c r="EA36" s="197"/>
      <c r="EB36" s="197"/>
      <c r="EC36" s="197"/>
      <c r="ED36" s="175"/>
    </row>
    <row r="37" spans="25:134" x14ac:dyDescent="0.4">
      <c r="Y37" s="174"/>
      <c r="Z37" s="197"/>
      <c r="AA37" s="197"/>
      <c r="AB37" s="197"/>
      <c r="AC37" s="197"/>
      <c r="AD37" s="197"/>
      <c r="AE37" s="197"/>
      <c r="AF37" s="197"/>
      <c r="AG37" s="197"/>
      <c r="AH37" s="197"/>
      <c r="AI37" s="197"/>
      <c r="AJ37" s="197"/>
      <c r="AK37" s="197"/>
      <c r="AL37" s="197"/>
      <c r="AM37" s="197"/>
      <c r="AN37" s="197"/>
      <c r="AO37" s="197"/>
      <c r="AP37" s="197"/>
      <c r="AQ37" s="197"/>
      <c r="AR37" s="197"/>
      <c r="AS37" s="197"/>
      <c r="AT37" s="197"/>
      <c r="AU37" s="197"/>
      <c r="AV37" s="197"/>
      <c r="AW37" s="197"/>
      <c r="AX37" s="197"/>
      <c r="AY37" s="197"/>
      <c r="AZ37" s="175"/>
      <c r="BC37" s="174"/>
      <c r="BD37" s="197"/>
      <c r="BE37" s="197"/>
      <c r="BF37" s="197"/>
      <c r="BG37" s="197"/>
      <c r="BH37" s="197"/>
      <c r="BI37" s="197"/>
      <c r="BJ37" s="197"/>
      <c r="BK37" s="197"/>
      <c r="BL37" s="197"/>
      <c r="BM37" s="197"/>
      <c r="BN37" s="197"/>
      <c r="BO37" s="197"/>
      <c r="BP37" s="197"/>
      <c r="BQ37" s="197"/>
      <c r="BR37" s="197"/>
      <c r="BS37" s="197"/>
      <c r="BT37" s="197"/>
      <c r="BU37" s="197"/>
      <c r="BV37" s="197"/>
      <c r="BW37" s="197"/>
      <c r="BX37" s="197"/>
      <c r="BY37" s="197"/>
      <c r="BZ37" s="197"/>
      <c r="CA37" s="197"/>
      <c r="CB37" s="197"/>
      <c r="CC37" s="197"/>
      <c r="CD37" s="175"/>
      <c r="DC37" s="174"/>
      <c r="DD37" s="197"/>
      <c r="DE37" s="197"/>
      <c r="DF37" s="197"/>
      <c r="DG37" s="197"/>
      <c r="DH37" s="197"/>
      <c r="DI37" s="197"/>
      <c r="DJ37" s="197"/>
      <c r="DK37" s="197"/>
      <c r="DL37" s="197"/>
      <c r="DM37" s="197"/>
      <c r="DN37" s="197"/>
      <c r="DO37" s="197"/>
      <c r="DP37" s="197"/>
      <c r="DQ37" s="197"/>
      <c r="DR37" s="197"/>
      <c r="DS37" s="197"/>
      <c r="DT37" s="197"/>
      <c r="DU37" s="197"/>
      <c r="DV37" s="197"/>
      <c r="DW37" s="197"/>
      <c r="DX37" s="197"/>
      <c r="DY37" s="197"/>
      <c r="DZ37" s="197"/>
      <c r="EA37" s="197"/>
      <c r="EB37" s="197"/>
      <c r="EC37" s="197"/>
      <c r="ED37" s="175"/>
    </row>
    <row r="38" spans="25:134" x14ac:dyDescent="0.4">
      <c r="Y38" s="174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  <c r="AL38" s="197"/>
      <c r="AM38" s="197"/>
      <c r="AN38" s="197"/>
      <c r="AO38" s="197"/>
      <c r="AP38" s="197"/>
      <c r="AQ38" s="197"/>
      <c r="AR38" s="197"/>
      <c r="AS38" s="197"/>
      <c r="AT38" s="197"/>
      <c r="AU38" s="197"/>
      <c r="AV38" s="197"/>
      <c r="AW38" s="197"/>
      <c r="AX38" s="197"/>
      <c r="AY38" s="197"/>
      <c r="AZ38" s="175"/>
      <c r="BC38" s="174"/>
      <c r="BD38" s="197"/>
      <c r="BE38" s="197"/>
      <c r="BF38" s="197"/>
      <c r="BG38" s="197"/>
      <c r="BH38" s="197"/>
      <c r="BI38" s="197"/>
      <c r="BJ38" s="197"/>
      <c r="BK38" s="197"/>
      <c r="BL38" s="197"/>
      <c r="BM38" s="197"/>
      <c r="BN38" s="197"/>
      <c r="BO38" s="197"/>
      <c r="BP38" s="197"/>
      <c r="BQ38" s="197"/>
      <c r="BR38" s="197"/>
      <c r="BS38" s="197"/>
      <c r="BT38" s="197"/>
      <c r="BU38" s="197"/>
      <c r="BV38" s="197"/>
      <c r="BW38" s="197"/>
      <c r="BX38" s="197"/>
      <c r="BY38" s="197"/>
      <c r="BZ38" s="197"/>
      <c r="CA38" s="197"/>
      <c r="CB38" s="197"/>
      <c r="CC38" s="197"/>
      <c r="CD38" s="175"/>
      <c r="DC38" s="174"/>
      <c r="DD38" s="197"/>
      <c r="DE38" s="197"/>
      <c r="DF38" s="197"/>
      <c r="DG38" s="197"/>
      <c r="DH38" s="197"/>
      <c r="DI38" s="197"/>
      <c r="DJ38" s="197"/>
      <c r="DK38" s="197"/>
      <c r="DL38" s="197"/>
      <c r="DM38" s="197"/>
      <c r="DN38" s="197"/>
      <c r="DO38" s="197"/>
      <c r="DP38" s="197"/>
      <c r="DQ38" s="197"/>
      <c r="DR38" s="197"/>
      <c r="DS38" s="197"/>
      <c r="DT38" s="197"/>
      <c r="DU38" s="197"/>
      <c r="DV38" s="197"/>
      <c r="DW38" s="197"/>
      <c r="DX38" s="197"/>
      <c r="DY38" s="197"/>
      <c r="DZ38" s="197"/>
      <c r="EA38" s="197"/>
      <c r="EB38" s="197"/>
      <c r="EC38" s="197"/>
      <c r="ED38" s="175"/>
    </row>
    <row r="39" spans="25:134" x14ac:dyDescent="0.4">
      <c r="Y39" s="174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  <c r="AL39" s="197"/>
      <c r="AM39" s="197"/>
      <c r="AN39" s="197"/>
      <c r="AO39" s="197"/>
      <c r="AP39" s="197"/>
      <c r="AQ39" s="197"/>
      <c r="AR39" s="197"/>
      <c r="AS39" s="197"/>
      <c r="AT39" s="197"/>
      <c r="AU39" s="197"/>
      <c r="AV39" s="197"/>
      <c r="AW39" s="197"/>
      <c r="AX39" s="197"/>
      <c r="AY39" s="197"/>
      <c r="AZ39" s="175"/>
      <c r="BC39" s="174"/>
      <c r="BD39" s="197"/>
      <c r="BE39" s="197"/>
      <c r="BF39" s="197"/>
      <c r="BG39" s="197"/>
      <c r="BH39" s="197"/>
      <c r="BI39" s="197"/>
      <c r="BJ39" s="197"/>
      <c r="BK39" s="197"/>
      <c r="BL39" s="197"/>
      <c r="BM39" s="197"/>
      <c r="BN39" s="197"/>
      <c r="BO39" s="197"/>
      <c r="BP39" s="197"/>
      <c r="BQ39" s="197"/>
      <c r="BR39" s="197"/>
      <c r="BS39" s="197"/>
      <c r="BT39" s="197"/>
      <c r="BU39" s="197"/>
      <c r="BV39" s="197"/>
      <c r="BW39" s="197"/>
      <c r="BX39" s="197"/>
      <c r="BY39" s="197"/>
      <c r="BZ39" s="197"/>
      <c r="CA39" s="197"/>
      <c r="CB39" s="197"/>
      <c r="CC39" s="197"/>
      <c r="CD39" s="175"/>
      <c r="DC39" s="174"/>
      <c r="DD39" s="197"/>
      <c r="DE39" s="197"/>
      <c r="DF39" s="197"/>
      <c r="DG39" s="197"/>
      <c r="DH39" s="197"/>
      <c r="DI39" s="197"/>
      <c r="DJ39" s="197"/>
      <c r="DK39" s="197"/>
      <c r="DL39" s="197"/>
      <c r="DM39" s="197"/>
      <c r="DN39" s="197"/>
      <c r="DO39" s="197"/>
      <c r="DP39" s="197"/>
      <c r="DQ39" s="197"/>
      <c r="DR39" s="197"/>
      <c r="DS39" s="197"/>
      <c r="DT39" s="197"/>
      <c r="DU39" s="197"/>
      <c r="DV39" s="197"/>
      <c r="DW39" s="197"/>
      <c r="DX39" s="197"/>
      <c r="DY39" s="197"/>
      <c r="DZ39" s="197"/>
      <c r="EA39" s="197"/>
      <c r="EB39" s="197"/>
      <c r="EC39" s="197"/>
      <c r="ED39" s="175"/>
    </row>
    <row r="40" spans="25:134" x14ac:dyDescent="0.4">
      <c r="Y40" s="174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  <c r="AJ40" s="197"/>
      <c r="AK40" s="197"/>
      <c r="AL40" s="197"/>
      <c r="AM40" s="197"/>
      <c r="AN40" s="197"/>
      <c r="AO40" s="197"/>
      <c r="AP40" s="197"/>
      <c r="AQ40" s="197"/>
      <c r="AR40" s="197"/>
      <c r="AS40" s="197"/>
      <c r="AT40" s="197"/>
      <c r="AU40" s="197"/>
      <c r="AV40" s="197"/>
      <c r="AW40" s="197"/>
      <c r="AX40" s="197"/>
      <c r="AY40" s="197"/>
      <c r="AZ40" s="175"/>
      <c r="BC40" s="174"/>
      <c r="BD40" s="197"/>
      <c r="BE40" s="197"/>
      <c r="BF40" s="197"/>
      <c r="BG40" s="197"/>
      <c r="BH40" s="197"/>
      <c r="BI40" s="197"/>
      <c r="BJ40" s="197"/>
      <c r="BK40" s="197"/>
      <c r="BL40" s="197"/>
      <c r="BM40" s="197"/>
      <c r="BN40" s="197"/>
      <c r="BO40" s="197"/>
      <c r="BP40" s="197"/>
      <c r="BQ40" s="197"/>
      <c r="BR40" s="197"/>
      <c r="BS40" s="197"/>
      <c r="BT40" s="197"/>
      <c r="BU40" s="197"/>
      <c r="BV40" s="197"/>
      <c r="BW40" s="197"/>
      <c r="BX40" s="197"/>
      <c r="BY40" s="197"/>
      <c r="BZ40" s="197"/>
      <c r="CA40" s="197"/>
      <c r="CB40" s="197"/>
      <c r="CC40" s="197"/>
      <c r="CD40" s="175"/>
      <c r="DC40" s="174"/>
      <c r="DD40" s="197"/>
      <c r="DE40" s="197"/>
      <c r="DF40" s="197"/>
      <c r="DG40" s="197"/>
      <c r="DH40" s="197"/>
      <c r="DI40" s="197"/>
      <c r="DJ40" s="197"/>
      <c r="DK40" s="197"/>
      <c r="DL40" s="197"/>
      <c r="DM40" s="197"/>
      <c r="DN40" s="197"/>
      <c r="DO40" s="197"/>
      <c r="DP40" s="197"/>
      <c r="DQ40" s="197"/>
      <c r="DR40" s="197"/>
      <c r="DS40" s="197"/>
      <c r="DT40" s="197"/>
      <c r="DU40" s="197"/>
      <c r="DV40" s="197"/>
      <c r="DW40" s="197"/>
      <c r="DX40" s="197"/>
      <c r="DY40" s="197"/>
      <c r="DZ40" s="197"/>
      <c r="EA40" s="197"/>
      <c r="EB40" s="197"/>
      <c r="EC40" s="197"/>
      <c r="ED40" s="175"/>
    </row>
    <row r="41" spans="25:134" x14ac:dyDescent="0.4">
      <c r="Y41" s="174"/>
      <c r="Z41" s="197"/>
      <c r="AA41" s="197"/>
      <c r="AB41" s="197"/>
      <c r="AC41" s="197"/>
      <c r="AD41" s="197"/>
      <c r="AE41" s="197"/>
      <c r="AF41" s="197"/>
      <c r="AG41" s="197"/>
      <c r="AH41" s="197"/>
      <c r="AI41" s="197"/>
      <c r="AJ41" s="197"/>
      <c r="AK41" s="197"/>
      <c r="AL41" s="197"/>
      <c r="AM41" s="197"/>
      <c r="AN41" s="197"/>
      <c r="AO41" s="197"/>
      <c r="AP41" s="197"/>
      <c r="AQ41" s="197"/>
      <c r="AR41" s="197"/>
      <c r="AS41" s="197"/>
      <c r="AT41" s="197"/>
      <c r="AU41" s="197"/>
      <c r="AV41" s="197"/>
      <c r="AW41" s="197"/>
      <c r="AX41" s="197"/>
      <c r="AY41" s="197"/>
      <c r="AZ41" s="175"/>
      <c r="BC41" s="174"/>
      <c r="BD41" s="197"/>
      <c r="BE41" s="197"/>
      <c r="BF41" s="197"/>
      <c r="BG41" s="197"/>
      <c r="BH41" s="197"/>
      <c r="BI41" s="197"/>
      <c r="BJ41" s="197"/>
      <c r="BK41" s="197"/>
      <c r="BL41" s="197"/>
      <c r="BM41" s="197"/>
      <c r="BN41" s="197"/>
      <c r="BO41" s="197"/>
      <c r="BP41" s="197"/>
      <c r="BQ41" s="197"/>
      <c r="BR41" s="197"/>
      <c r="BS41" s="197"/>
      <c r="BT41" s="197"/>
      <c r="BU41" s="197"/>
      <c r="BV41" s="197"/>
      <c r="BW41" s="197"/>
      <c r="BX41" s="197"/>
      <c r="BY41" s="197"/>
      <c r="BZ41" s="197"/>
      <c r="CA41" s="197"/>
      <c r="CB41" s="197"/>
      <c r="CC41" s="197"/>
      <c r="CD41" s="175"/>
      <c r="DC41" s="174"/>
      <c r="DD41" s="197"/>
      <c r="DE41" s="197"/>
      <c r="DF41" s="197"/>
      <c r="DG41" s="197"/>
      <c r="DH41" s="197"/>
      <c r="DI41" s="197"/>
      <c r="DJ41" s="197"/>
      <c r="DK41" s="197"/>
      <c r="DL41" s="197"/>
      <c r="DM41" s="197"/>
      <c r="DN41" s="197"/>
      <c r="DO41" s="197"/>
      <c r="DP41" s="197"/>
      <c r="DQ41" s="197"/>
      <c r="DR41" s="197"/>
      <c r="DS41" s="197"/>
      <c r="DT41" s="197"/>
      <c r="DU41" s="197"/>
      <c r="DV41" s="197"/>
      <c r="DW41" s="197"/>
      <c r="DX41" s="197"/>
      <c r="DY41" s="197"/>
      <c r="DZ41" s="197"/>
      <c r="EA41" s="197"/>
      <c r="EB41" s="197"/>
      <c r="EC41" s="197"/>
      <c r="ED41" s="175"/>
    </row>
    <row r="42" spans="25:134" x14ac:dyDescent="0.4">
      <c r="Y42" s="174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  <c r="AM42" s="197"/>
      <c r="AN42" s="197"/>
      <c r="AO42" s="197"/>
      <c r="AP42" s="197"/>
      <c r="AQ42" s="197"/>
      <c r="AR42" s="197"/>
      <c r="AS42" s="197"/>
      <c r="AT42" s="197"/>
      <c r="AU42" s="197"/>
      <c r="AV42" s="197"/>
      <c r="AW42" s="197"/>
      <c r="AX42" s="197"/>
      <c r="AY42" s="197"/>
      <c r="AZ42" s="175"/>
      <c r="BC42" s="174"/>
      <c r="BD42" s="197"/>
      <c r="BE42" s="197"/>
      <c r="BF42" s="197"/>
      <c r="BG42" s="197"/>
      <c r="BH42" s="197"/>
      <c r="BI42" s="197"/>
      <c r="BJ42" s="197"/>
      <c r="BK42" s="197"/>
      <c r="BL42" s="197"/>
      <c r="BM42" s="197"/>
      <c r="BN42" s="197"/>
      <c r="BO42" s="197"/>
      <c r="BP42" s="197"/>
      <c r="BQ42" s="197"/>
      <c r="BR42" s="197"/>
      <c r="BS42" s="197"/>
      <c r="BT42" s="197"/>
      <c r="BU42" s="197"/>
      <c r="BV42" s="197"/>
      <c r="BW42" s="197"/>
      <c r="BX42" s="197"/>
      <c r="BY42" s="197"/>
      <c r="BZ42" s="197"/>
      <c r="CA42" s="197"/>
      <c r="CB42" s="197"/>
      <c r="CC42" s="197"/>
      <c r="CD42" s="175"/>
      <c r="DC42" s="174"/>
      <c r="DD42" s="197"/>
      <c r="DE42" s="197"/>
      <c r="DF42" s="197"/>
      <c r="DG42" s="197"/>
      <c r="DH42" s="197"/>
      <c r="DI42" s="197"/>
      <c r="DJ42" s="197"/>
      <c r="DK42" s="197"/>
      <c r="DL42" s="197"/>
      <c r="DM42" s="197"/>
      <c r="DN42" s="197"/>
      <c r="DO42" s="197"/>
      <c r="DP42" s="197"/>
      <c r="DQ42" s="197"/>
      <c r="DR42" s="197"/>
      <c r="DS42" s="197"/>
      <c r="DT42" s="197"/>
      <c r="DU42" s="197"/>
      <c r="DV42" s="197"/>
      <c r="DW42" s="197"/>
      <c r="DX42" s="197"/>
      <c r="DY42" s="197"/>
      <c r="DZ42" s="197"/>
      <c r="EA42" s="197"/>
      <c r="EB42" s="197"/>
      <c r="EC42" s="197"/>
      <c r="ED42" s="175"/>
    </row>
    <row r="43" spans="25:134" x14ac:dyDescent="0.4">
      <c r="Y43" s="174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  <c r="AL43" s="197"/>
      <c r="AM43" s="197"/>
      <c r="AN43" s="197"/>
      <c r="AO43" s="197"/>
      <c r="AP43" s="197"/>
      <c r="AQ43" s="197"/>
      <c r="AR43" s="197"/>
      <c r="AS43" s="197"/>
      <c r="AT43" s="197"/>
      <c r="AU43" s="197"/>
      <c r="AV43" s="197"/>
      <c r="AW43" s="197"/>
      <c r="AX43" s="197"/>
      <c r="AY43" s="197"/>
      <c r="AZ43" s="175"/>
      <c r="BC43" s="174"/>
      <c r="BD43" s="197"/>
      <c r="BE43" s="197"/>
      <c r="BF43" s="197"/>
      <c r="BG43" s="197"/>
      <c r="BH43" s="197"/>
      <c r="BI43" s="197"/>
      <c r="BJ43" s="197"/>
      <c r="BK43" s="197"/>
      <c r="BL43" s="197"/>
      <c r="BM43" s="197"/>
      <c r="BN43" s="197"/>
      <c r="BO43" s="197"/>
      <c r="BP43" s="197"/>
      <c r="BQ43" s="197"/>
      <c r="BR43" s="197"/>
      <c r="BS43" s="197"/>
      <c r="BT43" s="197"/>
      <c r="BU43" s="197"/>
      <c r="BV43" s="197"/>
      <c r="BW43" s="197"/>
      <c r="BX43" s="197"/>
      <c r="BY43" s="197"/>
      <c r="BZ43" s="197"/>
      <c r="CA43" s="197"/>
      <c r="CB43" s="197"/>
      <c r="CC43" s="197"/>
      <c r="CD43" s="175"/>
      <c r="DC43" s="174"/>
      <c r="DD43" s="197"/>
      <c r="DE43" s="197"/>
      <c r="DF43" s="197"/>
      <c r="DG43" s="197"/>
      <c r="DH43" s="197"/>
      <c r="DI43" s="197"/>
      <c r="DJ43" s="197"/>
      <c r="DK43" s="197"/>
      <c r="DL43" s="197"/>
      <c r="DM43" s="197"/>
      <c r="DN43" s="197"/>
      <c r="DO43" s="197"/>
      <c r="DP43" s="197"/>
      <c r="DQ43" s="197"/>
      <c r="DR43" s="197"/>
      <c r="DS43" s="197"/>
      <c r="DT43" s="197"/>
      <c r="DU43" s="197"/>
      <c r="DV43" s="197"/>
      <c r="DW43" s="197"/>
      <c r="DX43" s="197"/>
      <c r="DY43" s="197"/>
      <c r="DZ43" s="197"/>
      <c r="EA43" s="197"/>
      <c r="EB43" s="197"/>
      <c r="EC43" s="197"/>
      <c r="ED43" s="175"/>
    </row>
    <row r="44" spans="25:134" x14ac:dyDescent="0.4">
      <c r="Y44" s="174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  <c r="AR44" s="197"/>
      <c r="AS44" s="197"/>
      <c r="AT44" s="197"/>
      <c r="AU44" s="197"/>
      <c r="AV44" s="197"/>
      <c r="AW44" s="197"/>
      <c r="AX44" s="197"/>
      <c r="AY44" s="197"/>
      <c r="AZ44" s="175"/>
      <c r="BC44" s="174"/>
      <c r="BD44" s="197"/>
      <c r="BE44" s="197"/>
      <c r="BF44" s="197"/>
      <c r="BG44" s="197"/>
      <c r="BH44" s="197"/>
      <c r="BI44" s="197"/>
      <c r="BJ44" s="197"/>
      <c r="BK44" s="197"/>
      <c r="BL44" s="197"/>
      <c r="BM44" s="197"/>
      <c r="BN44" s="197"/>
      <c r="BO44" s="197"/>
      <c r="BP44" s="197"/>
      <c r="BQ44" s="197"/>
      <c r="BR44" s="197"/>
      <c r="BS44" s="197"/>
      <c r="BT44" s="197"/>
      <c r="BU44" s="197"/>
      <c r="BV44" s="197"/>
      <c r="BW44" s="197"/>
      <c r="BX44" s="197"/>
      <c r="BY44" s="197"/>
      <c r="BZ44" s="197"/>
      <c r="CA44" s="197"/>
      <c r="CB44" s="197"/>
      <c r="CC44" s="197"/>
      <c r="CD44" s="175"/>
      <c r="DC44" s="174"/>
      <c r="DD44" s="197"/>
      <c r="DE44" s="197"/>
      <c r="DF44" s="197"/>
      <c r="DG44" s="197"/>
      <c r="DH44" s="197"/>
      <c r="DI44" s="197"/>
      <c r="DJ44" s="197"/>
      <c r="DK44" s="197"/>
      <c r="DL44" s="197"/>
      <c r="DM44" s="197"/>
      <c r="DN44" s="197"/>
      <c r="DO44" s="197"/>
      <c r="DP44" s="197"/>
      <c r="DQ44" s="197"/>
      <c r="DR44" s="197"/>
      <c r="DS44" s="197"/>
      <c r="DT44" s="197"/>
      <c r="DU44" s="197"/>
      <c r="DV44" s="197"/>
      <c r="DW44" s="197"/>
      <c r="DX44" s="197"/>
      <c r="DY44" s="197"/>
      <c r="DZ44" s="197"/>
      <c r="EA44" s="197"/>
      <c r="EB44" s="197"/>
      <c r="EC44" s="197"/>
      <c r="ED44" s="175"/>
    </row>
    <row r="45" spans="25:134" x14ac:dyDescent="0.4">
      <c r="Y45" s="174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  <c r="AL45" s="197"/>
      <c r="AM45" s="197"/>
      <c r="AN45" s="197"/>
      <c r="AO45" s="197"/>
      <c r="AP45" s="197"/>
      <c r="AQ45" s="197"/>
      <c r="AR45" s="197"/>
      <c r="AS45" s="197"/>
      <c r="AT45" s="197"/>
      <c r="AU45" s="197"/>
      <c r="AV45" s="197"/>
      <c r="AW45" s="197"/>
      <c r="AX45" s="197"/>
      <c r="AY45" s="197"/>
      <c r="AZ45" s="175"/>
      <c r="BC45" s="174"/>
      <c r="BD45" s="197"/>
      <c r="BE45" s="197"/>
      <c r="BF45" s="197"/>
      <c r="BG45" s="197"/>
      <c r="BH45" s="197"/>
      <c r="BI45" s="197"/>
      <c r="BJ45" s="197"/>
      <c r="BK45" s="197"/>
      <c r="BL45" s="197"/>
      <c r="BM45" s="197"/>
      <c r="BN45" s="197"/>
      <c r="BO45" s="197"/>
      <c r="BP45" s="197"/>
      <c r="BQ45" s="197"/>
      <c r="BR45" s="197"/>
      <c r="BS45" s="197"/>
      <c r="BT45" s="197"/>
      <c r="BU45" s="197"/>
      <c r="BV45" s="197"/>
      <c r="BW45" s="197"/>
      <c r="BX45" s="197"/>
      <c r="BY45" s="197"/>
      <c r="BZ45" s="197"/>
      <c r="CA45" s="197"/>
      <c r="CB45" s="197"/>
      <c r="CC45" s="197"/>
      <c r="CD45" s="175"/>
      <c r="DC45" s="174"/>
      <c r="DD45" s="197"/>
      <c r="DE45" s="197"/>
      <c r="DF45" s="197"/>
      <c r="DG45" s="197"/>
      <c r="DH45" s="197"/>
      <c r="DI45" s="197"/>
      <c r="DJ45" s="197"/>
      <c r="DK45" s="197"/>
      <c r="DL45" s="197"/>
      <c r="DM45" s="197"/>
      <c r="DN45" s="197"/>
      <c r="DO45" s="197"/>
      <c r="DP45" s="197"/>
      <c r="DQ45" s="197"/>
      <c r="DR45" s="197"/>
      <c r="DS45" s="197"/>
      <c r="DT45" s="197"/>
      <c r="DU45" s="197"/>
      <c r="DV45" s="197"/>
      <c r="DW45" s="197"/>
      <c r="DX45" s="197"/>
      <c r="DY45" s="197"/>
      <c r="DZ45" s="197"/>
      <c r="EA45" s="197"/>
      <c r="EB45" s="197"/>
      <c r="EC45" s="197"/>
      <c r="ED45" s="175"/>
    </row>
    <row r="46" spans="25:134" x14ac:dyDescent="0.4">
      <c r="Y46" s="174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  <c r="AL46" s="197"/>
      <c r="AM46" s="197"/>
      <c r="AN46" s="197"/>
      <c r="AO46" s="197"/>
      <c r="AP46" s="197"/>
      <c r="AQ46" s="197"/>
      <c r="AR46" s="197"/>
      <c r="AS46" s="197"/>
      <c r="AT46" s="197"/>
      <c r="AU46" s="197"/>
      <c r="AV46" s="197"/>
      <c r="AW46" s="197"/>
      <c r="AX46" s="197"/>
      <c r="AY46" s="197"/>
      <c r="AZ46" s="175"/>
      <c r="BC46" s="174"/>
      <c r="BD46" s="197"/>
      <c r="BE46" s="197"/>
      <c r="BF46" s="197"/>
      <c r="BG46" s="197"/>
      <c r="BH46" s="197"/>
      <c r="BI46" s="197"/>
      <c r="BJ46" s="197"/>
      <c r="BK46" s="197"/>
      <c r="BL46" s="197"/>
      <c r="BM46" s="197"/>
      <c r="BN46" s="197"/>
      <c r="BO46" s="197"/>
      <c r="BP46" s="197"/>
      <c r="BQ46" s="197"/>
      <c r="BR46" s="197"/>
      <c r="BS46" s="197"/>
      <c r="BT46" s="197"/>
      <c r="BU46" s="197"/>
      <c r="BV46" s="197"/>
      <c r="BW46" s="197"/>
      <c r="BX46" s="197"/>
      <c r="BY46" s="197"/>
      <c r="BZ46" s="197"/>
      <c r="CA46" s="197"/>
      <c r="CB46" s="197"/>
      <c r="CC46" s="197"/>
      <c r="CD46" s="175"/>
      <c r="DC46" s="174"/>
      <c r="DD46" s="197"/>
      <c r="DE46" s="197"/>
      <c r="DF46" s="197"/>
      <c r="DG46" s="197"/>
      <c r="DH46" s="197"/>
      <c r="DI46" s="197"/>
      <c r="DJ46" s="197"/>
      <c r="DK46" s="197"/>
      <c r="DL46" s="197"/>
      <c r="DM46" s="197"/>
      <c r="DN46" s="197"/>
      <c r="DO46" s="197"/>
      <c r="DP46" s="197"/>
      <c r="DQ46" s="197"/>
      <c r="DR46" s="197"/>
      <c r="DS46" s="197"/>
      <c r="DT46" s="197"/>
      <c r="DU46" s="197"/>
      <c r="DV46" s="197"/>
      <c r="DW46" s="197"/>
      <c r="DX46" s="197"/>
      <c r="DY46" s="197"/>
      <c r="DZ46" s="197"/>
      <c r="EA46" s="197"/>
      <c r="EB46" s="197"/>
      <c r="EC46" s="197"/>
      <c r="ED46" s="175"/>
    </row>
    <row r="47" spans="25:134" x14ac:dyDescent="0.4">
      <c r="Y47" s="174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97"/>
      <c r="AK47" s="197"/>
      <c r="AL47" s="197"/>
      <c r="AM47" s="197"/>
      <c r="AN47" s="197"/>
      <c r="AO47" s="197"/>
      <c r="AP47" s="197"/>
      <c r="AQ47" s="197"/>
      <c r="AR47" s="197"/>
      <c r="AS47" s="197"/>
      <c r="AT47" s="197"/>
      <c r="AU47" s="197"/>
      <c r="AV47" s="197"/>
      <c r="AW47" s="197"/>
      <c r="AX47" s="197"/>
      <c r="AY47" s="197"/>
      <c r="AZ47" s="175"/>
      <c r="BC47" s="174"/>
      <c r="BD47" s="197"/>
      <c r="BE47" s="197"/>
      <c r="BF47" s="197"/>
      <c r="BG47" s="197"/>
      <c r="BH47" s="197"/>
      <c r="BI47" s="197"/>
      <c r="BJ47" s="197"/>
      <c r="BK47" s="197"/>
      <c r="BL47" s="197"/>
      <c r="BM47" s="197"/>
      <c r="BN47" s="197"/>
      <c r="BO47" s="197"/>
      <c r="BP47" s="197"/>
      <c r="BQ47" s="197"/>
      <c r="BR47" s="197"/>
      <c r="BS47" s="197"/>
      <c r="BT47" s="197"/>
      <c r="BU47" s="197"/>
      <c r="BV47" s="197"/>
      <c r="BW47" s="197"/>
      <c r="BX47" s="197"/>
      <c r="BY47" s="197"/>
      <c r="BZ47" s="197"/>
      <c r="CA47" s="197"/>
      <c r="CB47" s="197"/>
      <c r="CC47" s="197"/>
      <c r="CD47" s="175"/>
      <c r="DC47" s="174"/>
      <c r="DD47" s="197"/>
      <c r="DE47" s="197"/>
      <c r="DF47" s="197"/>
      <c r="DG47" s="197"/>
      <c r="DH47" s="197"/>
      <c r="DI47" s="197"/>
      <c r="DJ47" s="197"/>
      <c r="DK47" s="197"/>
      <c r="DL47" s="197"/>
      <c r="DM47" s="197"/>
      <c r="DN47" s="197"/>
      <c r="DO47" s="197"/>
      <c r="DP47" s="197"/>
      <c r="DQ47" s="197"/>
      <c r="DR47" s="197"/>
      <c r="DS47" s="197"/>
      <c r="DT47" s="197"/>
      <c r="DU47" s="197"/>
      <c r="DV47" s="197"/>
      <c r="DW47" s="197"/>
      <c r="DX47" s="197"/>
      <c r="DY47" s="197"/>
      <c r="DZ47" s="197"/>
      <c r="EA47" s="197"/>
      <c r="EB47" s="197"/>
      <c r="EC47" s="197"/>
      <c r="ED47" s="175"/>
    </row>
    <row r="48" spans="25:134" x14ac:dyDescent="0.4">
      <c r="Y48" s="174"/>
      <c r="Z48" s="197"/>
      <c r="AA48" s="197"/>
      <c r="AB48" s="197"/>
      <c r="AC48" s="197"/>
      <c r="AD48" s="197"/>
      <c r="AE48" s="197"/>
      <c r="AF48" s="197"/>
      <c r="AG48" s="197"/>
      <c r="AH48" s="197"/>
      <c r="AI48" s="197"/>
      <c r="AJ48" s="197"/>
      <c r="AK48" s="197"/>
      <c r="AL48" s="197"/>
      <c r="AM48" s="197"/>
      <c r="AN48" s="197"/>
      <c r="AO48" s="197"/>
      <c r="AP48" s="197"/>
      <c r="AQ48" s="197"/>
      <c r="AR48" s="197"/>
      <c r="AS48" s="197"/>
      <c r="AT48" s="197"/>
      <c r="AU48" s="197"/>
      <c r="AV48" s="197"/>
      <c r="AW48" s="197"/>
      <c r="AX48" s="197"/>
      <c r="AY48" s="197"/>
      <c r="AZ48" s="175"/>
      <c r="BC48" s="174"/>
      <c r="BD48" s="197"/>
      <c r="BE48" s="197"/>
      <c r="BF48" s="197"/>
      <c r="BG48" s="197"/>
      <c r="BH48" s="197"/>
      <c r="BI48" s="197"/>
      <c r="BJ48" s="197"/>
      <c r="BK48" s="197"/>
      <c r="BL48" s="197"/>
      <c r="BM48" s="197"/>
      <c r="BN48" s="197"/>
      <c r="BO48" s="197"/>
      <c r="BP48" s="197"/>
      <c r="BQ48" s="197"/>
      <c r="BR48" s="197"/>
      <c r="BS48" s="197"/>
      <c r="BT48" s="197"/>
      <c r="BU48" s="197"/>
      <c r="BV48" s="197"/>
      <c r="BW48" s="197"/>
      <c r="BX48" s="197"/>
      <c r="BY48" s="197"/>
      <c r="BZ48" s="197"/>
      <c r="CA48" s="197"/>
      <c r="CB48" s="197"/>
      <c r="CC48" s="197"/>
      <c r="CD48" s="175"/>
      <c r="DC48" s="174"/>
      <c r="DD48" s="197"/>
      <c r="DE48" s="197"/>
      <c r="DF48" s="197"/>
      <c r="DG48" s="197"/>
      <c r="DH48" s="197"/>
      <c r="DI48" s="197"/>
      <c r="DJ48" s="197"/>
      <c r="DK48" s="197"/>
      <c r="DL48" s="197"/>
      <c r="DM48" s="197"/>
      <c r="DN48" s="197"/>
      <c r="DO48" s="197"/>
      <c r="DP48" s="197"/>
      <c r="DQ48" s="197"/>
      <c r="DR48" s="197"/>
      <c r="DS48" s="197"/>
      <c r="DT48" s="197"/>
      <c r="DU48" s="197"/>
      <c r="DV48" s="197"/>
      <c r="DW48" s="197"/>
      <c r="DX48" s="197"/>
      <c r="DY48" s="197"/>
      <c r="DZ48" s="197"/>
      <c r="EA48" s="197"/>
      <c r="EB48" s="197"/>
      <c r="EC48" s="197"/>
      <c r="ED48" s="175"/>
    </row>
    <row r="49" spans="25:142" x14ac:dyDescent="0.4">
      <c r="Y49" s="174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  <c r="AL49" s="197"/>
      <c r="AM49" s="197"/>
      <c r="AN49" s="197"/>
      <c r="AO49" s="197"/>
      <c r="AP49" s="197"/>
      <c r="AQ49" s="197"/>
      <c r="AR49" s="197"/>
      <c r="AS49" s="197"/>
      <c r="AT49" s="197"/>
      <c r="AU49" s="197"/>
      <c r="AV49" s="197"/>
      <c r="AW49" s="197"/>
      <c r="AX49" s="197"/>
      <c r="AY49" s="197"/>
      <c r="AZ49" s="175"/>
      <c r="BC49" s="174"/>
      <c r="BD49" s="197"/>
      <c r="BE49" s="197"/>
      <c r="BF49" s="197"/>
      <c r="BG49" s="197"/>
      <c r="BH49" s="197"/>
      <c r="BI49" s="197"/>
      <c r="BJ49" s="197"/>
      <c r="BK49" s="197"/>
      <c r="BL49" s="197"/>
      <c r="BM49" s="197"/>
      <c r="BN49" s="197"/>
      <c r="BO49" s="197"/>
      <c r="BP49" s="197"/>
      <c r="BQ49" s="197"/>
      <c r="BR49" s="197"/>
      <c r="BS49" s="197"/>
      <c r="BT49" s="197"/>
      <c r="BU49" s="197"/>
      <c r="BV49" s="197"/>
      <c r="BW49" s="197"/>
      <c r="BX49" s="197"/>
      <c r="BY49" s="197"/>
      <c r="BZ49" s="197"/>
      <c r="CA49" s="197"/>
      <c r="CB49" s="197"/>
      <c r="CC49" s="197"/>
      <c r="CD49" s="175"/>
      <c r="DC49" s="174"/>
      <c r="DD49" s="197"/>
      <c r="DE49" s="197"/>
      <c r="DF49" s="197"/>
      <c r="DG49" s="197"/>
      <c r="DH49" s="197"/>
      <c r="DI49" s="197"/>
      <c r="DJ49" s="197"/>
      <c r="DK49" s="197"/>
      <c r="DL49" s="197"/>
      <c r="DM49" s="197"/>
      <c r="DN49" s="197"/>
      <c r="DO49" s="197"/>
      <c r="DP49" s="197"/>
      <c r="DQ49" s="197"/>
      <c r="DR49" s="197"/>
      <c r="DS49" s="197"/>
      <c r="DT49" s="197"/>
      <c r="DU49" s="197"/>
      <c r="DV49" s="197"/>
      <c r="DW49" s="197"/>
      <c r="DX49" s="197"/>
      <c r="DY49" s="197"/>
      <c r="DZ49" s="197"/>
      <c r="EA49" s="197"/>
      <c r="EB49" s="197"/>
      <c r="EC49" s="197"/>
      <c r="ED49" s="175"/>
    </row>
    <row r="50" spans="25:142" x14ac:dyDescent="0.4">
      <c r="Y50" s="174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  <c r="AL50" s="197"/>
      <c r="AM50" s="197"/>
      <c r="AN50" s="197"/>
      <c r="AO50" s="197"/>
      <c r="AP50" s="197"/>
      <c r="AQ50" s="197"/>
      <c r="AR50" s="197"/>
      <c r="AS50" s="197"/>
      <c r="AT50" s="197"/>
      <c r="AU50" s="197"/>
      <c r="AV50" s="197"/>
      <c r="AW50" s="197"/>
      <c r="AX50" s="197"/>
      <c r="AY50" s="197"/>
      <c r="AZ50" s="175"/>
      <c r="BC50" s="174"/>
      <c r="BD50" s="197"/>
      <c r="BE50" s="197"/>
      <c r="BF50" s="197"/>
      <c r="BG50" s="197"/>
      <c r="BH50" s="197"/>
      <c r="BI50" s="197"/>
      <c r="BJ50" s="197"/>
      <c r="BK50" s="197"/>
      <c r="BL50" s="197"/>
      <c r="BM50" s="197"/>
      <c r="BN50" s="197"/>
      <c r="BO50" s="197"/>
      <c r="BP50" s="197"/>
      <c r="BQ50" s="197"/>
      <c r="BR50" s="197"/>
      <c r="BS50" s="197"/>
      <c r="BT50" s="197"/>
      <c r="BU50" s="197"/>
      <c r="BV50" s="197"/>
      <c r="BW50" s="197"/>
      <c r="BX50" s="197"/>
      <c r="BY50" s="197"/>
      <c r="BZ50" s="197"/>
      <c r="CA50" s="197"/>
      <c r="CB50" s="197"/>
      <c r="CC50" s="197"/>
      <c r="CD50" s="175"/>
      <c r="DC50" s="174"/>
      <c r="DD50" s="197"/>
      <c r="DE50" s="197"/>
      <c r="DF50" s="197"/>
      <c r="DG50" s="197"/>
      <c r="DH50" s="197"/>
      <c r="DI50" s="197"/>
      <c r="DJ50" s="197"/>
      <c r="DK50" s="197"/>
      <c r="DL50" s="197"/>
      <c r="DM50" s="197"/>
      <c r="DN50" s="197"/>
      <c r="DO50" s="197"/>
      <c r="DP50" s="197"/>
      <c r="DQ50" s="197"/>
      <c r="DR50" s="197"/>
      <c r="DS50" s="197"/>
      <c r="DT50" s="197"/>
      <c r="DU50" s="197"/>
      <c r="DV50" s="197"/>
      <c r="DW50" s="197"/>
      <c r="DX50" s="197"/>
      <c r="DY50" s="197"/>
      <c r="DZ50" s="197"/>
      <c r="EA50" s="197"/>
      <c r="EB50" s="197"/>
      <c r="EC50" s="197"/>
      <c r="ED50" s="175"/>
    </row>
    <row r="51" spans="25:142" x14ac:dyDescent="0.4">
      <c r="Y51" s="174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  <c r="AM51" s="197"/>
      <c r="AN51" s="197"/>
      <c r="AO51" s="197"/>
      <c r="AP51" s="197"/>
      <c r="AQ51" s="197"/>
      <c r="AR51" s="197"/>
      <c r="AS51" s="197"/>
      <c r="AT51" s="197"/>
      <c r="AU51" s="197"/>
      <c r="AV51" s="197"/>
      <c r="AW51" s="197"/>
      <c r="AX51" s="197"/>
      <c r="AY51" s="197"/>
      <c r="AZ51" s="175"/>
      <c r="BC51" s="174"/>
      <c r="BD51" s="197"/>
      <c r="BE51" s="197"/>
      <c r="BF51" s="197"/>
      <c r="BG51" s="197"/>
      <c r="BH51" s="197"/>
      <c r="BI51" s="197"/>
      <c r="BJ51" s="197"/>
      <c r="BK51" s="197"/>
      <c r="BL51" s="197"/>
      <c r="BM51" s="197"/>
      <c r="BN51" s="197"/>
      <c r="BO51" s="197"/>
      <c r="BP51" s="197"/>
      <c r="BQ51" s="197"/>
      <c r="BR51" s="197"/>
      <c r="BS51" s="197"/>
      <c r="BT51" s="197"/>
      <c r="BU51" s="197"/>
      <c r="BV51" s="197"/>
      <c r="BW51" s="197"/>
      <c r="BX51" s="197"/>
      <c r="BY51" s="197"/>
      <c r="BZ51" s="197"/>
      <c r="CA51" s="197"/>
      <c r="CB51" s="197"/>
      <c r="CC51" s="197"/>
      <c r="CD51" s="175"/>
      <c r="DC51" s="174"/>
      <c r="DD51" s="197"/>
      <c r="DE51" s="197"/>
      <c r="DF51" s="197"/>
      <c r="DG51" s="197"/>
      <c r="DH51" s="197"/>
      <c r="DI51" s="197"/>
      <c r="DJ51" s="197"/>
      <c r="DK51" s="197"/>
      <c r="DL51" s="197"/>
      <c r="DM51" s="197"/>
      <c r="DN51" s="197"/>
      <c r="DO51" s="197"/>
      <c r="DP51" s="197"/>
      <c r="DQ51" s="197"/>
      <c r="DR51" s="197"/>
      <c r="DS51" s="197"/>
      <c r="DT51" s="197"/>
      <c r="DU51" s="197"/>
      <c r="DV51" s="197"/>
      <c r="DW51" s="197"/>
      <c r="DX51" s="197"/>
      <c r="DY51" s="197"/>
      <c r="DZ51" s="197"/>
      <c r="EA51" s="197"/>
      <c r="EB51" s="197"/>
      <c r="EC51" s="197"/>
      <c r="ED51" s="175"/>
    </row>
    <row r="52" spans="25:142" ht="18" thickBot="1" x14ac:dyDescent="0.45">
      <c r="Y52" s="193"/>
      <c r="Z52" s="313"/>
      <c r="AA52" s="313"/>
      <c r="AB52" s="313"/>
      <c r="AC52" s="313"/>
      <c r="AD52" s="313"/>
      <c r="AE52" s="313"/>
      <c r="AF52" s="313"/>
      <c r="AG52" s="313"/>
      <c r="AH52" s="313"/>
      <c r="AI52" s="313"/>
      <c r="AJ52" s="313"/>
      <c r="AK52" s="313"/>
      <c r="AL52" s="313"/>
      <c r="AM52" s="313"/>
      <c r="AN52" s="313"/>
      <c r="AO52" s="313"/>
      <c r="AP52" s="313"/>
      <c r="AQ52" s="313"/>
      <c r="AR52" s="313"/>
      <c r="AS52" s="313"/>
      <c r="AT52" s="313"/>
      <c r="AU52" s="313"/>
      <c r="AV52" s="313"/>
      <c r="AW52" s="313"/>
      <c r="AX52" s="313"/>
      <c r="AY52" s="313"/>
      <c r="AZ52" s="194"/>
      <c r="BC52" s="193"/>
      <c r="BD52" s="313"/>
      <c r="BE52" s="313"/>
      <c r="BF52" s="313"/>
      <c r="BG52" s="313"/>
      <c r="BH52" s="313"/>
      <c r="BI52" s="313"/>
      <c r="BJ52" s="313"/>
      <c r="BK52" s="313"/>
      <c r="BL52" s="313"/>
      <c r="BM52" s="313"/>
      <c r="BN52" s="313"/>
      <c r="BO52" s="313"/>
      <c r="BP52" s="313"/>
      <c r="BQ52" s="313"/>
      <c r="BR52" s="313"/>
      <c r="BS52" s="313"/>
      <c r="BT52" s="313"/>
      <c r="BU52" s="313"/>
      <c r="BV52" s="313"/>
      <c r="BW52" s="313"/>
      <c r="BX52" s="313"/>
      <c r="BY52" s="313"/>
      <c r="BZ52" s="313"/>
      <c r="CA52" s="313"/>
      <c r="CB52" s="313"/>
      <c r="CC52" s="313"/>
      <c r="CD52" s="194"/>
      <c r="DC52" s="174"/>
      <c r="DD52" s="197"/>
      <c r="DE52" s="197"/>
      <c r="DF52" s="197"/>
      <c r="DG52" s="197"/>
      <c r="DH52" s="197"/>
      <c r="DI52" s="197"/>
      <c r="DJ52" s="197"/>
      <c r="DK52" s="197"/>
      <c r="DL52" s="197"/>
      <c r="DM52" s="197"/>
      <c r="DN52" s="197"/>
      <c r="DO52" s="197"/>
      <c r="DP52" s="197"/>
      <c r="DQ52" s="197"/>
      <c r="DR52" s="197"/>
      <c r="DS52" s="197"/>
      <c r="DT52" s="197"/>
      <c r="DU52" s="197"/>
      <c r="DV52" s="197"/>
      <c r="DW52" s="197"/>
      <c r="DX52" s="197"/>
      <c r="DY52" s="197"/>
      <c r="DZ52" s="197"/>
      <c r="EA52" s="197"/>
      <c r="EB52" s="197"/>
      <c r="EC52" s="197"/>
      <c r="ED52" s="175"/>
    </row>
    <row r="53" spans="25:142" x14ac:dyDescent="0.4">
      <c r="DC53" s="174"/>
      <c r="DD53" s="197"/>
      <c r="DE53" s="197"/>
      <c r="DF53" s="197"/>
      <c r="DG53" s="197"/>
      <c r="DH53" s="197"/>
      <c r="DI53" s="197"/>
      <c r="DJ53" s="197"/>
      <c r="DK53" s="197"/>
      <c r="DL53" s="197"/>
      <c r="DM53" s="197"/>
      <c r="DN53" s="197"/>
      <c r="DO53" s="197"/>
      <c r="DP53" s="197"/>
      <c r="DQ53" s="197"/>
      <c r="DR53" s="197"/>
      <c r="DS53" s="197"/>
      <c r="DT53" s="197"/>
      <c r="DU53" s="197"/>
      <c r="DV53" s="197"/>
      <c r="DW53" s="197"/>
      <c r="DX53" s="197"/>
      <c r="DY53" s="197"/>
      <c r="DZ53" s="197"/>
      <c r="EA53" s="197"/>
      <c r="EB53" s="197"/>
      <c r="EC53" s="197"/>
      <c r="ED53" s="175"/>
    </row>
    <row r="54" spans="25:142" ht="18" thickBot="1" x14ac:dyDescent="0.45">
      <c r="DC54" s="174"/>
      <c r="DD54" s="197"/>
      <c r="DE54" s="197"/>
      <c r="DF54" s="197"/>
      <c r="DG54" s="197"/>
      <c r="DH54" s="197"/>
      <c r="DI54" s="197"/>
      <c r="DJ54" s="197"/>
      <c r="DK54" s="197"/>
      <c r="DL54" s="197"/>
      <c r="DM54" s="197"/>
      <c r="DN54" s="197"/>
      <c r="DO54" s="197"/>
      <c r="DP54" s="197"/>
      <c r="DQ54" s="197"/>
      <c r="DR54" s="197"/>
      <c r="DS54" s="197"/>
      <c r="DT54" s="197"/>
      <c r="DU54" s="197"/>
      <c r="DV54" s="197"/>
      <c r="DW54" s="197"/>
      <c r="DX54" s="197"/>
      <c r="DY54" s="197"/>
      <c r="DZ54" s="197"/>
      <c r="EA54" s="197"/>
      <c r="EB54" s="197"/>
      <c r="EC54" s="197"/>
      <c r="ED54" s="175"/>
    </row>
    <row r="55" spans="25:142" x14ac:dyDescent="0.4">
      <c r="Y55" s="195"/>
      <c r="Z55" s="199"/>
      <c r="AA55" s="199"/>
      <c r="AB55" s="199"/>
      <c r="AC55" s="199"/>
      <c r="AD55" s="199"/>
      <c r="AE55" s="199"/>
      <c r="AF55" s="199"/>
      <c r="AG55" s="199"/>
      <c r="AH55" s="199"/>
      <c r="AI55" s="199"/>
      <c r="AJ55" s="199"/>
      <c r="AK55" s="199"/>
      <c r="AL55" s="199"/>
      <c r="AM55" s="199"/>
      <c r="AN55" s="199"/>
      <c r="AO55" s="199"/>
      <c r="AP55" s="199"/>
      <c r="AQ55" s="199"/>
      <c r="AR55" s="199"/>
      <c r="AS55" s="199"/>
      <c r="AT55" s="199"/>
      <c r="AU55" s="199"/>
      <c r="AV55" s="199"/>
      <c r="AW55" s="199"/>
      <c r="AX55" s="199"/>
      <c r="AY55" s="199"/>
      <c r="AZ55" s="196"/>
      <c r="BC55" s="195"/>
      <c r="BD55" s="199"/>
      <c r="BE55" s="199"/>
      <c r="BF55" s="199"/>
      <c r="BG55" s="199"/>
      <c r="BH55" s="199"/>
      <c r="BI55" s="199"/>
      <c r="BJ55" s="199"/>
      <c r="BK55" s="199"/>
      <c r="BL55" s="199"/>
      <c r="BM55" s="199"/>
      <c r="BN55" s="199"/>
      <c r="BO55" s="199"/>
      <c r="BP55" s="199"/>
      <c r="BQ55" s="199"/>
      <c r="BR55" s="199"/>
      <c r="BS55" s="199"/>
      <c r="BT55" s="199"/>
      <c r="BU55" s="199"/>
      <c r="BV55" s="199"/>
      <c r="BW55" s="199"/>
      <c r="BX55" s="199"/>
      <c r="BY55" s="199"/>
      <c r="BZ55" s="199"/>
      <c r="CA55" s="199"/>
      <c r="CB55" s="199"/>
      <c r="CC55" s="199"/>
      <c r="CD55" s="196"/>
      <c r="DC55" s="174"/>
      <c r="DD55" s="197"/>
      <c r="DE55" s="197"/>
      <c r="DF55" s="197"/>
      <c r="DG55" s="197"/>
      <c r="DH55" s="197"/>
      <c r="DI55" s="197"/>
      <c r="DJ55" s="197"/>
      <c r="DK55" s="197"/>
      <c r="DL55" s="197"/>
      <c r="DM55" s="197"/>
      <c r="DN55" s="197"/>
      <c r="DO55" s="197"/>
      <c r="DP55" s="197"/>
      <c r="DQ55" s="197"/>
      <c r="DR55" s="197"/>
      <c r="DS55" s="197"/>
      <c r="DT55" s="197"/>
      <c r="DU55" s="197"/>
      <c r="DV55" s="197"/>
      <c r="DW55" s="197"/>
      <c r="DX55" s="197"/>
      <c r="DY55" s="197"/>
      <c r="DZ55" s="197"/>
      <c r="EA55" s="197"/>
      <c r="EB55" s="197"/>
      <c r="EC55" s="197"/>
      <c r="ED55" s="175"/>
    </row>
    <row r="56" spans="25:142" ht="18" thickBot="1" x14ac:dyDescent="0.45">
      <c r="Y56" s="174"/>
      <c r="Z56" s="197"/>
      <c r="AA56" s="197"/>
      <c r="AB56" s="197"/>
      <c r="AC56" s="197"/>
      <c r="AD56" s="197"/>
      <c r="AE56" s="197"/>
      <c r="AF56" s="197"/>
      <c r="AG56" s="197"/>
      <c r="AH56" s="197"/>
      <c r="AI56" s="197"/>
      <c r="AJ56" s="197"/>
      <c r="AK56" s="197"/>
      <c r="AL56" s="197"/>
      <c r="AM56" s="197"/>
      <c r="AN56" s="197"/>
      <c r="AO56" s="197"/>
      <c r="AP56" s="197"/>
      <c r="AQ56" s="197"/>
      <c r="AR56" s="197"/>
      <c r="AS56" s="197"/>
      <c r="AT56" s="197"/>
      <c r="AU56" s="197"/>
      <c r="AV56" s="197"/>
      <c r="AW56" s="197"/>
      <c r="AX56" s="197"/>
      <c r="AY56" s="197"/>
      <c r="AZ56" s="175"/>
      <c r="BC56" s="174"/>
      <c r="BD56" s="197"/>
      <c r="BE56" s="197"/>
      <c r="BF56" s="197"/>
      <c r="BG56" s="197"/>
      <c r="BH56" s="197"/>
      <c r="BI56" s="197"/>
      <c r="BJ56" s="197"/>
      <c r="BK56" s="197"/>
      <c r="BL56" s="197"/>
      <c r="BM56" s="197"/>
      <c r="BN56" s="197"/>
      <c r="BO56" s="197"/>
      <c r="BP56" s="197"/>
      <c r="BQ56" s="197"/>
      <c r="BR56" s="197"/>
      <c r="BS56" s="197"/>
      <c r="BT56" s="197"/>
      <c r="BU56" s="197"/>
      <c r="BV56" s="197"/>
      <c r="BW56" s="197"/>
      <c r="BX56" s="197"/>
      <c r="BY56" s="197"/>
      <c r="BZ56" s="197"/>
      <c r="CA56" s="197"/>
      <c r="CB56" s="197"/>
      <c r="CC56" s="197"/>
      <c r="CD56" s="175"/>
      <c r="DC56" s="193"/>
      <c r="DD56" s="313"/>
      <c r="DE56" s="313"/>
      <c r="DF56" s="313"/>
      <c r="DG56" s="313"/>
      <c r="DH56" s="313"/>
      <c r="DI56" s="313"/>
      <c r="DJ56" s="313"/>
      <c r="DK56" s="313"/>
      <c r="DL56" s="313"/>
      <c r="DM56" s="313"/>
      <c r="DN56" s="313"/>
      <c r="DO56" s="313"/>
      <c r="DP56" s="313"/>
      <c r="DQ56" s="313"/>
      <c r="DR56" s="313"/>
      <c r="DS56" s="313"/>
      <c r="DT56" s="313"/>
      <c r="DU56" s="313"/>
      <c r="DV56" s="313"/>
      <c r="DW56" s="313"/>
      <c r="DX56" s="313"/>
      <c r="DY56" s="313"/>
      <c r="DZ56" s="313"/>
      <c r="EA56" s="313"/>
      <c r="EB56" s="313"/>
      <c r="EC56" s="313"/>
      <c r="ED56" s="194"/>
      <c r="EL56" t="s">
        <v>410</v>
      </c>
    </row>
    <row r="57" spans="25:142" x14ac:dyDescent="0.4">
      <c r="Y57" s="174"/>
      <c r="Z57" s="197"/>
      <c r="AA57" s="197"/>
      <c r="AB57" s="197"/>
      <c r="AC57" s="197"/>
      <c r="AD57" s="197"/>
      <c r="AE57" s="197"/>
      <c r="AF57" s="197"/>
      <c r="AG57" s="197"/>
      <c r="AH57" s="197"/>
      <c r="AI57" s="197"/>
      <c r="AJ57" s="197"/>
      <c r="AK57" s="197"/>
      <c r="AL57" s="197"/>
      <c r="AM57" s="197"/>
      <c r="AN57" s="197"/>
      <c r="AO57" s="197"/>
      <c r="AP57" s="197"/>
      <c r="AQ57" s="197"/>
      <c r="AR57" s="197"/>
      <c r="AS57" s="197"/>
      <c r="AT57" s="197"/>
      <c r="AU57" s="197"/>
      <c r="AV57" s="197"/>
      <c r="AW57" s="197"/>
      <c r="AX57" s="197"/>
      <c r="AY57" s="197"/>
      <c r="AZ57" s="175"/>
      <c r="BC57" s="174"/>
      <c r="BD57" s="197"/>
      <c r="BE57" s="197"/>
      <c r="BF57" s="197"/>
      <c r="BG57" s="197"/>
      <c r="BH57" s="197"/>
      <c r="BI57" s="197"/>
      <c r="BJ57" s="197"/>
      <c r="BK57" s="197"/>
      <c r="BL57" s="197"/>
      <c r="BM57" s="197"/>
      <c r="BN57" s="197"/>
      <c r="BO57" s="197"/>
      <c r="BP57" s="197"/>
      <c r="BQ57" s="197"/>
      <c r="BR57" s="197"/>
      <c r="BS57" s="197"/>
      <c r="BT57" s="197"/>
      <c r="BU57" s="197"/>
      <c r="BV57" s="197"/>
      <c r="BW57" s="197"/>
      <c r="BX57" s="197"/>
      <c r="BY57" s="197"/>
      <c r="BZ57" s="197"/>
      <c r="CA57" s="197"/>
      <c r="CB57" s="197"/>
      <c r="CC57" s="197"/>
      <c r="CD57" s="175"/>
    </row>
    <row r="58" spans="25:142" x14ac:dyDescent="0.4">
      <c r="Y58" s="174"/>
      <c r="Z58" s="197"/>
      <c r="AA58" s="197"/>
      <c r="AB58" s="197"/>
      <c r="AC58" s="197"/>
      <c r="AD58" s="197"/>
      <c r="AE58" s="197"/>
      <c r="AF58" s="197"/>
      <c r="AG58" s="197"/>
      <c r="AH58" s="197"/>
      <c r="AI58" s="197"/>
      <c r="AJ58" s="197"/>
      <c r="AK58" s="197"/>
      <c r="AL58" s="197"/>
      <c r="AM58" s="197"/>
      <c r="AN58" s="197"/>
      <c r="AO58" s="197"/>
      <c r="AP58" s="197"/>
      <c r="AQ58" s="197"/>
      <c r="AR58" s="197"/>
      <c r="AS58" s="197"/>
      <c r="AT58" s="197"/>
      <c r="AU58" s="197"/>
      <c r="AV58" s="197"/>
      <c r="AW58" s="197"/>
      <c r="AX58" s="197"/>
      <c r="AY58" s="197"/>
      <c r="AZ58" s="175"/>
      <c r="BC58" s="174"/>
      <c r="BD58" s="197"/>
      <c r="BE58" s="197"/>
      <c r="BF58" s="197"/>
      <c r="BG58" s="197"/>
      <c r="BH58" s="197"/>
      <c r="BI58" s="197"/>
      <c r="BJ58" s="197"/>
      <c r="BK58" s="197"/>
      <c r="BL58" s="197"/>
      <c r="BM58" s="197"/>
      <c r="BN58" s="197"/>
      <c r="BO58" s="197"/>
      <c r="BP58" s="197"/>
      <c r="BQ58" s="197"/>
      <c r="BR58" s="197"/>
      <c r="BS58" s="197"/>
      <c r="BT58" s="197"/>
      <c r="BU58" s="197"/>
      <c r="BV58" s="197"/>
      <c r="BW58" s="197"/>
      <c r="BX58" s="197"/>
      <c r="BY58" s="197"/>
      <c r="BZ58" s="197"/>
      <c r="CA58" s="197"/>
      <c r="CB58" s="197"/>
      <c r="CC58" s="197"/>
      <c r="CD58" s="175"/>
    </row>
    <row r="59" spans="25:142" x14ac:dyDescent="0.4">
      <c r="Y59" s="174"/>
      <c r="Z59" s="197"/>
      <c r="AA59" s="197"/>
      <c r="AB59" s="197"/>
      <c r="AC59" s="197"/>
      <c r="AD59" s="197"/>
      <c r="AE59" s="197"/>
      <c r="AF59" s="197"/>
      <c r="AG59" s="197"/>
      <c r="AH59" s="197"/>
      <c r="AI59" s="197"/>
      <c r="AJ59" s="197"/>
      <c r="AK59" s="197"/>
      <c r="AL59" s="197"/>
      <c r="AM59" s="197"/>
      <c r="AN59" s="197"/>
      <c r="AO59" s="197"/>
      <c r="AP59" s="197"/>
      <c r="AQ59" s="197"/>
      <c r="AR59" s="197"/>
      <c r="AS59" s="197"/>
      <c r="AT59" s="197"/>
      <c r="AU59" s="197"/>
      <c r="AV59" s="197"/>
      <c r="AW59" s="197"/>
      <c r="AX59" s="197"/>
      <c r="AY59" s="197"/>
      <c r="AZ59" s="175"/>
      <c r="BC59" s="174"/>
      <c r="BD59" s="197"/>
      <c r="BE59" s="197"/>
      <c r="BF59" s="197"/>
      <c r="BG59" s="197"/>
      <c r="BH59" s="197"/>
      <c r="BI59" s="197"/>
      <c r="BJ59" s="197"/>
      <c r="BK59" s="197"/>
      <c r="BL59" s="197"/>
      <c r="BM59" s="197"/>
      <c r="BN59" s="197"/>
      <c r="BO59" s="197"/>
      <c r="BP59" s="197"/>
      <c r="BQ59" s="197"/>
      <c r="BR59" s="197"/>
      <c r="BS59" s="197"/>
      <c r="BT59" s="197"/>
      <c r="BU59" s="197"/>
      <c r="BV59" s="197"/>
      <c r="BW59" s="197"/>
      <c r="BX59" s="197"/>
      <c r="BY59" s="197"/>
      <c r="BZ59" s="197"/>
      <c r="CA59" s="197"/>
      <c r="CB59" s="197"/>
      <c r="CC59" s="197"/>
      <c r="CD59" s="175"/>
    </row>
    <row r="60" spans="25:142" x14ac:dyDescent="0.4">
      <c r="Y60" s="174"/>
      <c r="Z60" s="197"/>
      <c r="AA60" s="197"/>
      <c r="AB60" s="197"/>
      <c r="AC60" s="197"/>
      <c r="AD60" s="197"/>
      <c r="AE60" s="197"/>
      <c r="AF60" s="197"/>
      <c r="AG60" s="197"/>
      <c r="AH60" s="197"/>
      <c r="AI60" s="197"/>
      <c r="AJ60" s="197"/>
      <c r="AK60" s="197"/>
      <c r="AL60" s="197"/>
      <c r="AM60" s="197"/>
      <c r="AN60" s="197"/>
      <c r="AO60" s="197"/>
      <c r="AP60" s="197"/>
      <c r="AQ60" s="197"/>
      <c r="AR60" s="197"/>
      <c r="AS60" s="197"/>
      <c r="AT60" s="197"/>
      <c r="AU60" s="197"/>
      <c r="AV60" s="197"/>
      <c r="AW60" s="197"/>
      <c r="AX60" s="197"/>
      <c r="AY60" s="197"/>
      <c r="AZ60" s="175"/>
      <c r="BC60" s="174"/>
      <c r="BD60" s="197"/>
      <c r="BE60" s="197"/>
      <c r="BF60" s="197"/>
      <c r="BG60" s="197"/>
      <c r="BH60" s="197"/>
      <c r="BI60" s="197"/>
      <c r="BJ60" s="197"/>
      <c r="BK60" s="197"/>
      <c r="BL60" s="197"/>
      <c r="BM60" s="197"/>
      <c r="BN60" s="197"/>
      <c r="BO60" s="197"/>
      <c r="BP60" s="197"/>
      <c r="BQ60" s="197"/>
      <c r="BR60" s="197"/>
      <c r="BS60" s="197"/>
      <c r="BT60" s="197"/>
      <c r="BU60" s="197"/>
      <c r="BV60" s="197"/>
      <c r="BW60" s="197"/>
      <c r="BX60" s="197"/>
      <c r="BY60" s="197"/>
      <c r="BZ60" s="197"/>
      <c r="CA60" s="197"/>
      <c r="CB60" s="197"/>
      <c r="CC60" s="197"/>
      <c r="CD60" s="175"/>
    </row>
    <row r="61" spans="25:142" ht="18" thickBot="1" x14ac:dyDescent="0.45">
      <c r="Y61" s="174"/>
      <c r="Z61" s="197"/>
      <c r="AA61" s="197"/>
      <c r="AB61" s="197"/>
      <c r="AC61" s="197"/>
      <c r="AD61" s="197"/>
      <c r="AE61" s="197"/>
      <c r="AF61" s="197"/>
      <c r="AG61" s="197"/>
      <c r="AH61" s="197"/>
      <c r="AI61" s="197"/>
      <c r="AJ61" s="197"/>
      <c r="AK61" s="197"/>
      <c r="AL61" s="197"/>
      <c r="AM61" s="197"/>
      <c r="AN61" s="197"/>
      <c r="AO61" s="197"/>
      <c r="AP61" s="197"/>
      <c r="AQ61" s="197"/>
      <c r="AR61" s="197"/>
      <c r="AS61" s="197"/>
      <c r="AT61" s="197"/>
      <c r="AU61" s="197"/>
      <c r="AV61" s="197"/>
      <c r="AW61" s="197"/>
      <c r="AX61" s="197"/>
      <c r="AY61" s="197"/>
      <c r="AZ61" s="175"/>
      <c r="BC61" s="174"/>
      <c r="BD61" s="197"/>
      <c r="BE61" s="197"/>
      <c r="BF61" s="197"/>
      <c r="BG61" s="197"/>
      <c r="BH61" s="197"/>
      <c r="BI61" s="197"/>
      <c r="BJ61" s="197"/>
      <c r="BK61" s="197"/>
      <c r="BL61" s="197"/>
      <c r="BM61" s="197"/>
      <c r="BN61" s="197"/>
      <c r="BO61" s="197"/>
      <c r="BP61" s="197"/>
      <c r="BQ61" s="197"/>
      <c r="BR61" s="197"/>
      <c r="BS61" s="197"/>
      <c r="BT61" s="197"/>
      <c r="BU61" s="197"/>
      <c r="BV61" s="197"/>
      <c r="BW61" s="197"/>
      <c r="BX61" s="197"/>
      <c r="BY61" s="197"/>
      <c r="BZ61" s="197"/>
      <c r="CA61" s="197"/>
      <c r="CB61" s="197"/>
      <c r="CC61" s="197"/>
      <c r="CD61" s="175"/>
    </row>
    <row r="62" spans="25:142" x14ac:dyDescent="0.4">
      <c r="Y62" s="174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197"/>
      <c r="AP62" s="197"/>
      <c r="AQ62" s="197"/>
      <c r="AR62" s="197"/>
      <c r="AS62" s="197"/>
      <c r="AT62" s="197"/>
      <c r="AU62" s="197"/>
      <c r="AV62" s="197"/>
      <c r="AW62" s="197"/>
      <c r="AX62" s="197"/>
      <c r="AY62" s="197"/>
      <c r="AZ62" s="175"/>
      <c r="BC62" s="174"/>
      <c r="BD62" s="197"/>
      <c r="BE62" s="197"/>
      <c r="BF62" s="197"/>
      <c r="BG62" s="197"/>
      <c r="BH62" s="197"/>
      <c r="BI62" s="197"/>
      <c r="BJ62" s="197"/>
      <c r="BK62" s="197"/>
      <c r="BL62" s="197"/>
      <c r="BM62" s="197"/>
      <c r="BN62" s="197"/>
      <c r="BO62" s="197"/>
      <c r="BP62" s="197"/>
      <c r="BQ62" s="197"/>
      <c r="BR62" s="197"/>
      <c r="BS62" s="197"/>
      <c r="BT62" s="197"/>
      <c r="BU62" s="197"/>
      <c r="BV62" s="197"/>
      <c r="BW62" s="197"/>
      <c r="BX62" s="197"/>
      <c r="BY62" s="197"/>
      <c r="BZ62" s="197"/>
      <c r="CA62" s="197"/>
      <c r="CB62" s="197"/>
      <c r="CC62" s="197"/>
      <c r="CD62" s="175"/>
      <c r="DC62" s="195"/>
      <c r="DD62" s="199"/>
      <c r="DE62" s="199"/>
      <c r="DF62" s="199"/>
      <c r="DG62" s="199"/>
      <c r="DH62" s="199"/>
      <c r="DI62" s="199"/>
      <c r="DJ62" s="199"/>
      <c r="DK62" s="199"/>
      <c r="DL62" s="199"/>
      <c r="DM62" s="199"/>
      <c r="DN62" s="199"/>
      <c r="DO62" s="199"/>
      <c r="DP62" s="199"/>
      <c r="DQ62" s="199"/>
      <c r="DR62" s="199"/>
      <c r="DS62" s="199"/>
      <c r="DT62" s="199"/>
      <c r="DU62" s="199"/>
      <c r="DV62" s="199"/>
      <c r="DW62" s="199"/>
      <c r="DX62" s="199"/>
      <c r="DY62" s="199"/>
      <c r="DZ62" s="199"/>
      <c r="EA62" s="199"/>
      <c r="EB62" s="199"/>
      <c r="EC62" s="199"/>
      <c r="ED62" s="196"/>
    </row>
    <row r="63" spans="25:142" x14ac:dyDescent="0.4">
      <c r="Y63" s="174"/>
      <c r="Z63" s="197"/>
      <c r="AA63" s="197"/>
      <c r="AB63" s="197"/>
      <c r="AC63" s="197"/>
      <c r="AD63" s="197"/>
      <c r="AE63" s="197"/>
      <c r="AF63" s="197"/>
      <c r="AG63" s="197"/>
      <c r="AH63" s="197"/>
      <c r="AI63" s="197"/>
      <c r="AJ63" s="197"/>
      <c r="AK63" s="197"/>
      <c r="AL63" s="197"/>
      <c r="AM63" s="197"/>
      <c r="AN63" s="197"/>
      <c r="AO63" s="197"/>
      <c r="AP63" s="197"/>
      <c r="AQ63" s="197"/>
      <c r="AR63" s="197"/>
      <c r="AS63" s="197"/>
      <c r="AT63" s="197"/>
      <c r="AU63" s="197"/>
      <c r="AV63" s="197"/>
      <c r="AW63" s="197"/>
      <c r="AX63" s="197"/>
      <c r="AY63" s="197"/>
      <c r="AZ63" s="175"/>
      <c r="BC63" s="174"/>
      <c r="BD63" s="197"/>
      <c r="BE63" s="197"/>
      <c r="BF63" s="197"/>
      <c r="BG63" s="197"/>
      <c r="BH63" s="197"/>
      <c r="BI63" s="197"/>
      <c r="BJ63" s="197"/>
      <c r="BK63" s="197"/>
      <c r="BL63" s="197"/>
      <c r="BM63" s="197"/>
      <c r="BN63" s="197"/>
      <c r="BO63" s="197"/>
      <c r="BP63" s="197"/>
      <c r="BQ63" s="197"/>
      <c r="BR63" s="197"/>
      <c r="BS63" s="197"/>
      <c r="BT63" s="197"/>
      <c r="BU63" s="197"/>
      <c r="BV63" s="197"/>
      <c r="BW63" s="197"/>
      <c r="BX63" s="197"/>
      <c r="BY63" s="197"/>
      <c r="BZ63" s="197"/>
      <c r="CA63" s="197"/>
      <c r="CB63" s="197"/>
      <c r="CC63" s="197"/>
      <c r="CD63" s="175"/>
      <c r="DC63" s="174"/>
      <c r="DD63" s="197"/>
      <c r="DE63" s="197"/>
      <c r="DF63" s="197"/>
      <c r="DG63" s="197"/>
      <c r="DH63" s="197"/>
      <c r="DI63" s="197"/>
      <c r="DJ63" s="197"/>
      <c r="DK63" s="197"/>
      <c r="DL63" s="197"/>
      <c r="DM63" s="197"/>
      <c r="DN63" s="197"/>
      <c r="DO63" s="197"/>
      <c r="DP63" s="197"/>
      <c r="DQ63" s="197"/>
      <c r="DR63" s="197"/>
      <c r="DS63" s="197"/>
      <c r="DT63" s="197"/>
      <c r="DU63" s="197"/>
      <c r="DV63" s="197"/>
      <c r="DW63" s="197"/>
      <c r="DX63" s="197"/>
      <c r="DY63" s="197"/>
      <c r="DZ63" s="197"/>
      <c r="EA63" s="197"/>
      <c r="EB63" s="197"/>
      <c r="EC63" s="197"/>
      <c r="ED63" s="175"/>
    </row>
    <row r="64" spans="25:142" x14ac:dyDescent="0.4">
      <c r="Y64" s="174"/>
      <c r="Z64" s="197"/>
      <c r="AA64" s="197"/>
      <c r="AB64" s="197"/>
      <c r="AC64" s="197"/>
      <c r="AD64" s="197"/>
      <c r="AE64" s="197"/>
      <c r="AF64" s="197"/>
      <c r="AG64" s="197"/>
      <c r="AH64" s="197"/>
      <c r="AI64" s="197"/>
      <c r="AJ64" s="197"/>
      <c r="AK64" s="197"/>
      <c r="AL64" s="197"/>
      <c r="AM64" s="197"/>
      <c r="AN64" s="197"/>
      <c r="AO64" s="197"/>
      <c r="AP64" s="197"/>
      <c r="AQ64" s="197"/>
      <c r="AR64" s="197"/>
      <c r="AS64" s="197"/>
      <c r="AT64" s="197"/>
      <c r="AU64" s="197"/>
      <c r="AV64" s="197"/>
      <c r="AW64" s="197"/>
      <c r="AX64" s="197"/>
      <c r="AY64" s="197"/>
      <c r="AZ64" s="175"/>
      <c r="BC64" s="174"/>
      <c r="BD64" s="197"/>
      <c r="BE64" s="197"/>
      <c r="BF64" s="197"/>
      <c r="BG64" s="197"/>
      <c r="BH64" s="197"/>
      <c r="BI64" s="197"/>
      <c r="BJ64" s="197"/>
      <c r="BK64" s="197"/>
      <c r="BL64" s="197"/>
      <c r="BM64" s="197"/>
      <c r="BN64" s="197"/>
      <c r="BO64" s="197"/>
      <c r="BP64" s="197"/>
      <c r="BQ64" s="197"/>
      <c r="BR64" s="197"/>
      <c r="BS64" s="197"/>
      <c r="BT64" s="197"/>
      <c r="BU64" s="197"/>
      <c r="BV64" s="197"/>
      <c r="BW64" s="197"/>
      <c r="BX64" s="197"/>
      <c r="BY64" s="197"/>
      <c r="BZ64" s="197"/>
      <c r="CA64" s="197"/>
      <c r="CB64" s="197"/>
      <c r="CC64" s="197"/>
      <c r="CD64" s="175"/>
      <c r="DC64" s="174"/>
      <c r="DD64" s="197"/>
      <c r="DE64" s="197"/>
      <c r="DF64" s="197"/>
      <c r="DG64" s="197"/>
      <c r="DH64" s="197"/>
      <c r="DI64" s="197"/>
      <c r="DJ64" s="197"/>
      <c r="DK64" s="197"/>
      <c r="DL64" s="197"/>
      <c r="DM64" s="197"/>
      <c r="DN64" s="197"/>
      <c r="DO64" s="197"/>
      <c r="DP64" s="197"/>
      <c r="DQ64" s="197"/>
      <c r="DR64" s="197"/>
      <c r="DS64" s="197"/>
      <c r="DT64" s="197"/>
      <c r="DU64" s="197"/>
      <c r="DV64" s="197"/>
      <c r="DW64" s="197"/>
      <c r="DX64" s="197"/>
      <c r="DY64" s="197"/>
      <c r="DZ64" s="197"/>
      <c r="EA64" s="197"/>
      <c r="EB64" s="197"/>
      <c r="EC64" s="197"/>
      <c r="ED64" s="175"/>
    </row>
    <row r="65" spans="25:134" x14ac:dyDescent="0.4">
      <c r="Y65" s="174"/>
      <c r="Z65" s="197"/>
      <c r="AA65" s="197"/>
      <c r="AB65" s="197"/>
      <c r="AC65" s="197"/>
      <c r="AD65" s="197"/>
      <c r="AE65" s="197"/>
      <c r="AF65" s="197"/>
      <c r="AG65" s="197"/>
      <c r="AH65" s="197"/>
      <c r="AI65" s="197"/>
      <c r="AJ65" s="197"/>
      <c r="AK65" s="197"/>
      <c r="AL65" s="197"/>
      <c r="AM65" s="197"/>
      <c r="AN65" s="197"/>
      <c r="AO65" s="197"/>
      <c r="AP65" s="197"/>
      <c r="AQ65" s="197"/>
      <c r="AR65" s="197"/>
      <c r="AS65" s="197"/>
      <c r="AT65" s="197"/>
      <c r="AU65" s="197"/>
      <c r="AV65" s="197"/>
      <c r="AW65" s="197"/>
      <c r="AX65" s="197"/>
      <c r="AY65" s="197"/>
      <c r="AZ65" s="175"/>
      <c r="BC65" s="174"/>
      <c r="BD65" s="197"/>
      <c r="BE65" s="197"/>
      <c r="BF65" s="197"/>
      <c r="BG65" s="197"/>
      <c r="BH65" s="197"/>
      <c r="BI65" s="197"/>
      <c r="BJ65" s="197"/>
      <c r="BK65" s="197"/>
      <c r="BL65" s="197"/>
      <c r="BM65" s="197"/>
      <c r="BN65" s="197"/>
      <c r="BO65" s="197"/>
      <c r="BP65" s="197"/>
      <c r="BQ65" s="197"/>
      <c r="BR65" s="197"/>
      <c r="BS65" s="197"/>
      <c r="BT65" s="197"/>
      <c r="BU65" s="197"/>
      <c r="BV65" s="197"/>
      <c r="BW65" s="197"/>
      <c r="BX65" s="197"/>
      <c r="BY65" s="197"/>
      <c r="BZ65" s="197"/>
      <c r="CA65" s="197"/>
      <c r="CB65" s="197"/>
      <c r="CC65" s="197"/>
      <c r="CD65" s="175"/>
      <c r="DC65" s="174"/>
      <c r="DD65" s="197"/>
      <c r="DE65" s="197"/>
      <c r="DF65" s="197"/>
      <c r="DG65" s="197"/>
      <c r="DH65" s="197"/>
      <c r="DI65" s="197"/>
      <c r="DJ65" s="197"/>
      <c r="DK65" s="197"/>
      <c r="DL65" s="197"/>
      <c r="DM65" s="197"/>
      <c r="DN65" s="197"/>
      <c r="DO65" s="197"/>
      <c r="DP65" s="197"/>
      <c r="DQ65" s="197"/>
      <c r="DR65" s="197"/>
      <c r="DS65" s="197"/>
      <c r="DT65" s="197"/>
      <c r="DU65" s="197"/>
      <c r="DV65" s="197"/>
      <c r="DW65" s="197"/>
      <c r="DX65" s="197"/>
      <c r="DY65" s="197"/>
      <c r="DZ65" s="197"/>
      <c r="EA65" s="197"/>
      <c r="EB65" s="197"/>
      <c r="EC65" s="197"/>
      <c r="ED65" s="175"/>
    </row>
    <row r="66" spans="25:134" x14ac:dyDescent="0.4">
      <c r="Y66" s="174"/>
      <c r="Z66" s="197"/>
      <c r="AA66" s="197"/>
      <c r="AB66" s="197"/>
      <c r="AC66" s="197"/>
      <c r="AD66" s="197"/>
      <c r="AE66" s="197"/>
      <c r="AF66" s="197"/>
      <c r="AG66" s="197"/>
      <c r="AH66" s="197"/>
      <c r="AI66" s="197"/>
      <c r="AJ66" s="197"/>
      <c r="AK66" s="197"/>
      <c r="AL66" s="197"/>
      <c r="AM66" s="197"/>
      <c r="AN66" s="197"/>
      <c r="AO66" s="197"/>
      <c r="AP66" s="197"/>
      <c r="AQ66" s="197"/>
      <c r="AR66" s="197"/>
      <c r="AS66" s="197"/>
      <c r="AT66" s="197"/>
      <c r="AU66" s="197"/>
      <c r="AV66" s="197"/>
      <c r="AW66" s="197"/>
      <c r="AX66" s="197"/>
      <c r="AY66" s="197"/>
      <c r="AZ66" s="175"/>
      <c r="BC66" s="174"/>
      <c r="BD66" s="197"/>
      <c r="BE66" s="197"/>
      <c r="BF66" s="197"/>
      <c r="BG66" s="197"/>
      <c r="BH66" s="197"/>
      <c r="BI66" s="197"/>
      <c r="BJ66" s="197"/>
      <c r="BK66" s="197"/>
      <c r="BL66" s="197"/>
      <c r="BM66" s="197"/>
      <c r="BN66" s="197"/>
      <c r="BO66" s="197"/>
      <c r="BP66" s="197"/>
      <c r="BQ66" s="197"/>
      <c r="BR66" s="197"/>
      <c r="BS66" s="197"/>
      <c r="BT66" s="197"/>
      <c r="BU66" s="197"/>
      <c r="BV66" s="197"/>
      <c r="BW66" s="197"/>
      <c r="BX66" s="197"/>
      <c r="BY66" s="197"/>
      <c r="BZ66" s="197"/>
      <c r="CA66" s="197"/>
      <c r="CB66" s="197"/>
      <c r="CC66" s="197"/>
      <c r="CD66" s="175"/>
      <c r="DC66" s="174"/>
      <c r="DD66" s="197"/>
      <c r="DE66" s="197"/>
      <c r="DF66" s="197"/>
      <c r="DG66" s="197"/>
      <c r="DH66" s="197"/>
      <c r="DI66" s="197"/>
      <c r="DJ66" s="197"/>
      <c r="DK66" s="197"/>
      <c r="DL66" s="197"/>
      <c r="DM66" s="197"/>
      <c r="DN66" s="197"/>
      <c r="DO66" s="197"/>
      <c r="DP66" s="197"/>
      <c r="DQ66" s="197"/>
      <c r="DR66" s="197"/>
      <c r="DS66" s="197"/>
      <c r="DT66" s="197"/>
      <c r="DU66" s="197"/>
      <c r="DV66" s="197"/>
      <c r="DW66" s="197"/>
      <c r="DX66" s="197"/>
      <c r="DY66" s="197"/>
      <c r="DZ66" s="197"/>
      <c r="EA66" s="197"/>
      <c r="EB66" s="197"/>
      <c r="EC66" s="197"/>
      <c r="ED66" s="175"/>
    </row>
    <row r="67" spans="25:134" x14ac:dyDescent="0.4">
      <c r="Y67" s="174"/>
      <c r="Z67" s="197"/>
      <c r="AA67" s="197"/>
      <c r="AB67" s="197"/>
      <c r="AC67" s="197"/>
      <c r="AD67" s="197"/>
      <c r="AE67" s="197"/>
      <c r="AF67" s="197"/>
      <c r="AG67" s="197"/>
      <c r="AH67" s="197"/>
      <c r="AI67" s="197"/>
      <c r="AJ67" s="197"/>
      <c r="AK67" s="197"/>
      <c r="AL67" s="197"/>
      <c r="AM67" s="197"/>
      <c r="AN67" s="197"/>
      <c r="AO67" s="197"/>
      <c r="AP67" s="197"/>
      <c r="AQ67" s="197"/>
      <c r="AR67" s="197"/>
      <c r="AS67" s="197"/>
      <c r="AT67" s="197"/>
      <c r="AU67" s="197"/>
      <c r="AV67" s="197"/>
      <c r="AW67" s="197"/>
      <c r="AX67" s="197"/>
      <c r="AY67" s="197"/>
      <c r="AZ67" s="175"/>
      <c r="BC67" s="174"/>
      <c r="BD67" s="197"/>
      <c r="BE67" s="197"/>
      <c r="BF67" s="197"/>
      <c r="BG67" s="197"/>
      <c r="BH67" s="197"/>
      <c r="BI67" s="197"/>
      <c r="BJ67" s="197"/>
      <c r="BK67" s="197"/>
      <c r="BL67" s="197"/>
      <c r="BM67" s="197"/>
      <c r="BN67" s="197"/>
      <c r="BO67" s="197"/>
      <c r="BP67" s="197"/>
      <c r="BQ67" s="197"/>
      <c r="BR67" s="197"/>
      <c r="BS67" s="197"/>
      <c r="BT67" s="197"/>
      <c r="BU67" s="197"/>
      <c r="BV67" s="197"/>
      <c r="BW67" s="197"/>
      <c r="BX67" s="197"/>
      <c r="BY67" s="197"/>
      <c r="BZ67" s="197"/>
      <c r="CA67" s="197"/>
      <c r="CB67" s="197"/>
      <c r="CC67" s="197"/>
      <c r="CD67" s="175"/>
      <c r="DC67" s="174"/>
      <c r="DD67" s="197"/>
      <c r="DE67" s="197"/>
      <c r="DF67" s="197"/>
      <c r="DG67" s="197"/>
      <c r="DH67" s="197"/>
      <c r="DI67" s="197"/>
      <c r="DJ67" s="197"/>
      <c r="DK67" s="197"/>
      <c r="DL67" s="197"/>
      <c r="DM67" s="197"/>
      <c r="DN67" s="197"/>
      <c r="DO67" s="197"/>
      <c r="DP67" s="197"/>
      <c r="DQ67" s="197"/>
      <c r="DR67" s="197"/>
      <c r="DS67" s="197"/>
      <c r="DT67" s="197"/>
      <c r="DU67" s="197"/>
      <c r="DV67" s="197"/>
      <c r="DW67" s="197"/>
      <c r="DX67" s="197"/>
      <c r="DY67" s="197"/>
      <c r="DZ67" s="197"/>
      <c r="EA67" s="197"/>
      <c r="EB67" s="197"/>
      <c r="EC67" s="197"/>
      <c r="ED67" s="175"/>
    </row>
    <row r="68" spans="25:134" x14ac:dyDescent="0.4">
      <c r="Y68" s="174"/>
      <c r="Z68" s="197"/>
      <c r="AA68" s="197"/>
      <c r="AB68" s="197"/>
      <c r="AC68" s="197"/>
      <c r="AD68" s="197"/>
      <c r="AE68" s="197"/>
      <c r="AF68" s="197"/>
      <c r="AG68" s="197"/>
      <c r="AH68" s="197"/>
      <c r="AI68" s="197"/>
      <c r="AJ68" s="197"/>
      <c r="AK68" s="197"/>
      <c r="AL68" s="197"/>
      <c r="AM68" s="197"/>
      <c r="AN68" s="197"/>
      <c r="AO68" s="197"/>
      <c r="AP68" s="197"/>
      <c r="AQ68" s="197"/>
      <c r="AR68" s="197"/>
      <c r="AS68" s="197"/>
      <c r="AT68" s="197"/>
      <c r="AU68" s="197"/>
      <c r="AV68" s="197"/>
      <c r="AW68" s="197"/>
      <c r="AX68" s="197"/>
      <c r="AY68" s="197"/>
      <c r="AZ68" s="175"/>
      <c r="BC68" s="174"/>
      <c r="BD68" s="197"/>
      <c r="BE68" s="197"/>
      <c r="BF68" s="197"/>
      <c r="BG68" s="197"/>
      <c r="BH68" s="197"/>
      <c r="BI68" s="197"/>
      <c r="BJ68" s="197"/>
      <c r="BK68" s="197"/>
      <c r="BL68" s="197"/>
      <c r="BM68" s="197"/>
      <c r="BN68" s="197"/>
      <c r="BO68" s="197"/>
      <c r="BP68" s="197"/>
      <c r="BQ68" s="197"/>
      <c r="BR68" s="197"/>
      <c r="BS68" s="197"/>
      <c r="BT68" s="197"/>
      <c r="BU68" s="197"/>
      <c r="BV68" s="197"/>
      <c r="BW68" s="197"/>
      <c r="BX68" s="197"/>
      <c r="BY68" s="197"/>
      <c r="BZ68" s="197"/>
      <c r="CA68" s="197"/>
      <c r="CB68" s="197"/>
      <c r="CC68" s="197"/>
      <c r="CD68" s="175"/>
      <c r="DC68" s="174"/>
      <c r="DD68" s="197"/>
      <c r="DE68" s="197"/>
      <c r="DF68" s="197"/>
      <c r="DG68" s="197"/>
      <c r="DH68" s="197"/>
      <c r="DI68" s="197"/>
      <c r="DJ68" s="197"/>
      <c r="DK68" s="197"/>
      <c r="DL68" s="197"/>
      <c r="DM68" s="197"/>
      <c r="DN68" s="197"/>
      <c r="DO68" s="197"/>
      <c r="DP68" s="197"/>
      <c r="DQ68" s="197"/>
      <c r="DR68" s="197"/>
      <c r="DS68" s="197"/>
      <c r="DT68" s="197"/>
      <c r="DU68" s="197"/>
      <c r="DV68" s="197"/>
      <c r="DW68" s="197"/>
      <c r="DX68" s="197"/>
      <c r="DY68" s="197"/>
      <c r="DZ68" s="197"/>
      <c r="EA68" s="197"/>
      <c r="EB68" s="197"/>
      <c r="EC68" s="197"/>
      <c r="ED68" s="175"/>
    </row>
    <row r="69" spans="25:134" x14ac:dyDescent="0.4">
      <c r="Y69" s="174"/>
      <c r="Z69" s="197"/>
      <c r="AA69" s="197"/>
      <c r="AB69" s="197"/>
      <c r="AC69" s="197"/>
      <c r="AD69" s="197"/>
      <c r="AE69" s="197"/>
      <c r="AF69" s="197"/>
      <c r="AG69" s="197"/>
      <c r="AH69" s="197"/>
      <c r="AI69" s="197"/>
      <c r="AJ69" s="197"/>
      <c r="AK69" s="197"/>
      <c r="AL69" s="197"/>
      <c r="AM69" s="197"/>
      <c r="AN69" s="197"/>
      <c r="AO69" s="197"/>
      <c r="AP69" s="197"/>
      <c r="AQ69" s="197"/>
      <c r="AR69" s="197"/>
      <c r="AS69" s="197"/>
      <c r="AT69" s="197"/>
      <c r="AU69" s="197"/>
      <c r="AV69" s="197"/>
      <c r="AW69" s="197"/>
      <c r="AX69" s="197"/>
      <c r="AY69" s="197"/>
      <c r="AZ69" s="175"/>
      <c r="BC69" s="174"/>
      <c r="BD69" s="197"/>
      <c r="BE69" s="197"/>
      <c r="BF69" s="197"/>
      <c r="BG69" s="197"/>
      <c r="BH69" s="197"/>
      <c r="BI69" s="197"/>
      <c r="BJ69" s="197"/>
      <c r="BK69" s="197"/>
      <c r="BL69" s="197"/>
      <c r="BM69" s="197"/>
      <c r="BN69" s="197"/>
      <c r="BO69" s="197"/>
      <c r="BP69" s="197"/>
      <c r="BQ69" s="197"/>
      <c r="BR69" s="197"/>
      <c r="BS69" s="197"/>
      <c r="BT69" s="197"/>
      <c r="BU69" s="197"/>
      <c r="BV69" s="197"/>
      <c r="BW69" s="197"/>
      <c r="BX69" s="197"/>
      <c r="BY69" s="197"/>
      <c r="BZ69" s="197"/>
      <c r="CA69" s="197"/>
      <c r="CB69" s="197"/>
      <c r="CC69" s="197"/>
      <c r="CD69" s="175"/>
      <c r="DC69" s="174"/>
      <c r="DD69" s="197"/>
      <c r="DE69" s="197"/>
      <c r="DF69" s="197"/>
      <c r="DG69" s="197"/>
      <c r="DH69" s="197"/>
      <c r="DI69" s="197"/>
      <c r="DJ69" s="197"/>
      <c r="DK69" s="197"/>
      <c r="DL69" s="197"/>
      <c r="DM69" s="197"/>
      <c r="DN69" s="197"/>
      <c r="DO69" s="197"/>
      <c r="DP69" s="197"/>
      <c r="DQ69" s="197"/>
      <c r="DR69" s="197"/>
      <c r="DS69" s="197"/>
      <c r="DT69" s="197"/>
      <c r="DU69" s="197"/>
      <c r="DV69" s="197"/>
      <c r="DW69" s="197"/>
      <c r="DX69" s="197"/>
      <c r="DY69" s="197"/>
      <c r="DZ69" s="197"/>
      <c r="EA69" s="197"/>
      <c r="EB69" s="197"/>
      <c r="EC69" s="197"/>
      <c r="ED69" s="175"/>
    </row>
    <row r="70" spans="25:134" x14ac:dyDescent="0.4">
      <c r="Y70" s="174"/>
      <c r="Z70" s="197"/>
      <c r="AA70" s="197"/>
      <c r="AB70" s="197"/>
      <c r="AC70" s="197"/>
      <c r="AD70" s="197"/>
      <c r="AE70" s="197"/>
      <c r="AF70" s="197"/>
      <c r="AG70" s="197"/>
      <c r="AH70" s="197"/>
      <c r="AI70" s="197"/>
      <c r="AJ70" s="197"/>
      <c r="AK70" s="197"/>
      <c r="AL70" s="197"/>
      <c r="AM70" s="197"/>
      <c r="AN70" s="197"/>
      <c r="AO70" s="197"/>
      <c r="AP70" s="197"/>
      <c r="AQ70" s="197"/>
      <c r="AR70" s="197"/>
      <c r="AS70" s="197"/>
      <c r="AT70" s="197"/>
      <c r="AU70" s="197"/>
      <c r="AV70" s="197"/>
      <c r="AW70" s="197"/>
      <c r="AX70" s="197"/>
      <c r="AY70" s="197"/>
      <c r="AZ70" s="175"/>
      <c r="BC70" s="174"/>
      <c r="BD70" s="197"/>
      <c r="BE70" s="197"/>
      <c r="BF70" s="197"/>
      <c r="BG70" s="197"/>
      <c r="BH70" s="197"/>
      <c r="BI70" s="197"/>
      <c r="BJ70" s="197"/>
      <c r="BK70" s="197"/>
      <c r="BL70" s="197"/>
      <c r="BM70" s="197"/>
      <c r="BN70" s="197"/>
      <c r="BO70" s="197"/>
      <c r="BP70" s="197"/>
      <c r="BQ70" s="197"/>
      <c r="BR70" s="197"/>
      <c r="BS70" s="197"/>
      <c r="BT70" s="197"/>
      <c r="BU70" s="197"/>
      <c r="BV70" s="197"/>
      <c r="BW70" s="197"/>
      <c r="BX70" s="197"/>
      <c r="BY70" s="197"/>
      <c r="BZ70" s="197"/>
      <c r="CA70" s="197"/>
      <c r="CB70" s="197"/>
      <c r="CC70" s="197"/>
      <c r="CD70" s="175"/>
      <c r="DC70" s="174"/>
      <c r="DD70" s="197"/>
      <c r="DE70" s="197"/>
      <c r="DF70" s="197"/>
      <c r="DG70" s="197"/>
      <c r="DH70" s="197"/>
      <c r="DI70" s="197"/>
      <c r="DJ70" s="197"/>
      <c r="DK70" s="197"/>
      <c r="DL70" s="197"/>
      <c r="DM70" s="197"/>
      <c r="DN70" s="197"/>
      <c r="DO70" s="197"/>
      <c r="DP70" s="197"/>
      <c r="DQ70" s="197"/>
      <c r="DR70" s="197"/>
      <c r="DS70" s="197"/>
      <c r="DT70" s="197"/>
      <c r="DU70" s="197"/>
      <c r="DV70" s="197"/>
      <c r="DW70" s="197"/>
      <c r="DX70" s="197"/>
      <c r="DY70" s="197"/>
      <c r="DZ70" s="197"/>
      <c r="EA70" s="197"/>
      <c r="EB70" s="197"/>
      <c r="EC70" s="197"/>
      <c r="ED70" s="175"/>
    </row>
    <row r="71" spans="25:134" x14ac:dyDescent="0.4">
      <c r="Y71" s="174"/>
      <c r="Z71" s="197"/>
      <c r="AA71" s="197"/>
      <c r="AB71" s="197"/>
      <c r="AC71" s="197"/>
      <c r="AD71" s="197"/>
      <c r="AE71" s="197"/>
      <c r="AF71" s="197"/>
      <c r="AG71" s="197"/>
      <c r="AH71" s="197"/>
      <c r="AI71" s="197"/>
      <c r="AJ71" s="197"/>
      <c r="AK71" s="197"/>
      <c r="AL71" s="197"/>
      <c r="AM71" s="197"/>
      <c r="AN71" s="197"/>
      <c r="AO71" s="197"/>
      <c r="AP71" s="197"/>
      <c r="AQ71" s="197"/>
      <c r="AR71" s="197"/>
      <c r="AS71" s="197"/>
      <c r="AT71" s="197"/>
      <c r="AU71" s="197"/>
      <c r="AV71" s="197"/>
      <c r="AW71" s="197"/>
      <c r="AX71" s="197"/>
      <c r="AY71" s="197"/>
      <c r="AZ71" s="175"/>
      <c r="BC71" s="174"/>
      <c r="BD71" s="197"/>
      <c r="BE71" s="197"/>
      <c r="BF71" s="197"/>
      <c r="BG71" s="197"/>
      <c r="BH71" s="197"/>
      <c r="BI71" s="197"/>
      <c r="BJ71" s="197"/>
      <c r="BK71" s="197"/>
      <c r="BL71" s="197"/>
      <c r="BM71" s="197"/>
      <c r="BN71" s="197"/>
      <c r="BO71" s="197"/>
      <c r="BP71" s="197"/>
      <c r="BQ71" s="197"/>
      <c r="BR71" s="197"/>
      <c r="BS71" s="197"/>
      <c r="BT71" s="197"/>
      <c r="BU71" s="197"/>
      <c r="BV71" s="197"/>
      <c r="BW71" s="197"/>
      <c r="BX71" s="197"/>
      <c r="BY71" s="197"/>
      <c r="BZ71" s="197"/>
      <c r="CA71" s="197"/>
      <c r="CB71" s="197"/>
      <c r="CC71" s="197"/>
      <c r="CD71" s="175"/>
      <c r="DC71" s="174"/>
      <c r="DD71" s="197"/>
      <c r="DE71" s="197"/>
      <c r="DF71" s="197"/>
      <c r="DG71" s="197"/>
      <c r="DH71" s="197"/>
      <c r="DI71" s="197"/>
      <c r="DJ71" s="197"/>
      <c r="DK71" s="197"/>
      <c r="DL71" s="197"/>
      <c r="DM71" s="197"/>
      <c r="DN71" s="197"/>
      <c r="DO71" s="197"/>
      <c r="DP71" s="197"/>
      <c r="DQ71" s="197"/>
      <c r="DR71" s="197"/>
      <c r="DS71" s="197"/>
      <c r="DT71" s="197"/>
      <c r="DU71" s="197"/>
      <c r="DV71" s="197"/>
      <c r="DW71" s="197"/>
      <c r="DX71" s="197"/>
      <c r="DY71" s="197"/>
      <c r="DZ71" s="197"/>
      <c r="EA71" s="197"/>
      <c r="EB71" s="197"/>
      <c r="EC71" s="197"/>
      <c r="ED71" s="175"/>
    </row>
    <row r="72" spans="25:134" x14ac:dyDescent="0.4">
      <c r="Y72" s="174"/>
      <c r="Z72" s="197"/>
      <c r="AA72" s="197"/>
      <c r="AB72" s="197"/>
      <c r="AC72" s="197"/>
      <c r="AD72" s="197"/>
      <c r="AE72" s="197"/>
      <c r="AF72" s="197"/>
      <c r="AG72" s="197"/>
      <c r="AH72" s="197"/>
      <c r="AI72" s="197"/>
      <c r="AJ72" s="197"/>
      <c r="AK72" s="197"/>
      <c r="AL72" s="197"/>
      <c r="AM72" s="197"/>
      <c r="AN72" s="197"/>
      <c r="AO72" s="197"/>
      <c r="AP72" s="197"/>
      <c r="AQ72" s="197"/>
      <c r="AR72" s="197"/>
      <c r="AS72" s="197"/>
      <c r="AT72" s="197"/>
      <c r="AU72" s="197"/>
      <c r="AV72" s="197"/>
      <c r="AW72" s="197"/>
      <c r="AX72" s="197"/>
      <c r="AY72" s="197"/>
      <c r="AZ72" s="175"/>
      <c r="BC72" s="174"/>
      <c r="BD72" s="197"/>
      <c r="BE72" s="197"/>
      <c r="BF72" s="197"/>
      <c r="BG72" s="197"/>
      <c r="BH72" s="197"/>
      <c r="BI72" s="197"/>
      <c r="BJ72" s="197"/>
      <c r="BK72" s="197"/>
      <c r="BL72" s="197"/>
      <c r="BM72" s="197"/>
      <c r="BN72" s="197"/>
      <c r="BO72" s="197"/>
      <c r="BP72" s="197"/>
      <c r="BQ72" s="197"/>
      <c r="BR72" s="197"/>
      <c r="BS72" s="197"/>
      <c r="BT72" s="197"/>
      <c r="BU72" s="197"/>
      <c r="BV72" s="197"/>
      <c r="BW72" s="197"/>
      <c r="BX72" s="197"/>
      <c r="BY72" s="197"/>
      <c r="BZ72" s="197"/>
      <c r="CA72" s="197"/>
      <c r="CB72" s="197"/>
      <c r="CC72" s="197"/>
      <c r="CD72" s="175"/>
      <c r="DC72" s="174"/>
      <c r="DD72" s="197"/>
      <c r="DE72" s="197"/>
      <c r="DF72" s="197"/>
      <c r="DG72" s="197"/>
      <c r="DH72" s="197"/>
      <c r="DI72" s="197"/>
      <c r="DJ72" s="197"/>
      <c r="DK72" s="197"/>
      <c r="DL72" s="197"/>
      <c r="DM72" s="197"/>
      <c r="DN72" s="197"/>
      <c r="DO72" s="197"/>
      <c r="DP72" s="197"/>
      <c r="DQ72" s="197"/>
      <c r="DR72" s="197"/>
      <c r="DS72" s="197"/>
      <c r="DT72" s="197"/>
      <c r="DU72" s="197"/>
      <c r="DV72" s="197"/>
      <c r="DW72" s="197"/>
      <c r="DX72" s="197"/>
      <c r="DY72" s="197"/>
      <c r="DZ72" s="197"/>
      <c r="EA72" s="197"/>
      <c r="EB72" s="197"/>
      <c r="EC72" s="197"/>
      <c r="ED72" s="175"/>
    </row>
    <row r="73" spans="25:134" x14ac:dyDescent="0.4">
      <c r="Y73" s="174"/>
      <c r="Z73" s="197"/>
      <c r="AA73" s="197"/>
      <c r="AB73" s="197"/>
      <c r="AC73" s="197"/>
      <c r="AD73" s="197"/>
      <c r="AE73" s="197"/>
      <c r="AF73" s="197"/>
      <c r="AG73" s="197"/>
      <c r="AH73" s="197"/>
      <c r="AI73" s="197"/>
      <c r="AJ73" s="197"/>
      <c r="AK73" s="197"/>
      <c r="AL73" s="197"/>
      <c r="AM73" s="197"/>
      <c r="AN73" s="197"/>
      <c r="AO73" s="197"/>
      <c r="AP73" s="197"/>
      <c r="AQ73" s="197"/>
      <c r="AR73" s="197"/>
      <c r="AS73" s="197"/>
      <c r="AT73" s="197"/>
      <c r="AU73" s="197"/>
      <c r="AV73" s="197"/>
      <c r="AW73" s="197"/>
      <c r="AX73" s="197"/>
      <c r="AY73" s="197"/>
      <c r="AZ73" s="175"/>
      <c r="BC73" s="174"/>
      <c r="BD73" s="197"/>
      <c r="BE73" s="197"/>
      <c r="BF73" s="197"/>
      <c r="BG73" s="197"/>
      <c r="BH73" s="197"/>
      <c r="BI73" s="197"/>
      <c r="BJ73" s="197"/>
      <c r="BK73" s="197"/>
      <c r="BL73" s="197"/>
      <c r="BM73" s="197"/>
      <c r="BN73" s="197"/>
      <c r="BO73" s="197"/>
      <c r="BP73" s="197"/>
      <c r="BQ73" s="197"/>
      <c r="BR73" s="197"/>
      <c r="BS73" s="197"/>
      <c r="BT73" s="197"/>
      <c r="BU73" s="197"/>
      <c r="BV73" s="197"/>
      <c r="BW73" s="197"/>
      <c r="BX73" s="197"/>
      <c r="BY73" s="197"/>
      <c r="BZ73" s="197"/>
      <c r="CA73" s="197"/>
      <c r="CB73" s="197"/>
      <c r="CC73" s="197"/>
      <c r="CD73" s="175"/>
      <c r="DC73" s="174"/>
      <c r="DD73" s="197"/>
      <c r="DE73" s="197"/>
      <c r="DF73" s="197"/>
      <c r="DG73" s="197"/>
      <c r="DH73" s="197"/>
      <c r="DI73" s="197"/>
      <c r="DJ73" s="197"/>
      <c r="DK73" s="197"/>
      <c r="DL73" s="197"/>
      <c r="DM73" s="197"/>
      <c r="DN73" s="197"/>
      <c r="DO73" s="197"/>
      <c r="DP73" s="197"/>
      <c r="DQ73" s="197"/>
      <c r="DR73" s="197"/>
      <c r="DS73" s="197"/>
      <c r="DT73" s="197"/>
      <c r="DU73" s="197"/>
      <c r="DV73" s="197"/>
      <c r="DW73" s="197"/>
      <c r="DX73" s="197"/>
      <c r="DY73" s="197"/>
      <c r="DZ73" s="197"/>
      <c r="EA73" s="197"/>
      <c r="EB73" s="197"/>
      <c r="EC73" s="197"/>
      <c r="ED73" s="175"/>
    </row>
    <row r="74" spans="25:134" x14ac:dyDescent="0.4">
      <c r="Y74" s="174"/>
      <c r="Z74" s="197"/>
      <c r="AA74" s="197"/>
      <c r="AB74" s="197"/>
      <c r="AC74" s="197"/>
      <c r="AD74" s="197"/>
      <c r="AE74" s="197"/>
      <c r="AF74" s="197"/>
      <c r="AG74" s="197"/>
      <c r="AH74" s="197"/>
      <c r="AI74" s="197"/>
      <c r="AJ74" s="197"/>
      <c r="AK74" s="197"/>
      <c r="AL74" s="197"/>
      <c r="AM74" s="197"/>
      <c r="AN74" s="197"/>
      <c r="AO74" s="197"/>
      <c r="AP74" s="197"/>
      <c r="AQ74" s="197"/>
      <c r="AR74" s="197"/>
      <c r="AS74" s="197"/>
      <c r="AT74" s="197"/>
      <c r="AU74" s="197"/>
      <c r="AV74" s="197"/>
      <c r="AW74" s="197"/>
      <c r="AX74" s="197"/>
      <c r="AY74" s="197"/>
      <c r="AZ74" s="175"/>
      <c r="BC74" s="174"/>
      <c r="BD74" s="197"/>
      <c r="BE74" s="197"/>
      <c r="BF74" s="197"/>
      <c r="BG74" s="197"/>
      <c r="BH74" s="197"/>
      <c r="BI74" s="197"/>
      <c r="BJ74" s="197"/>
      <c r="BK74" s="197"/>
      <c r="BL74" s="197"/>
      <c r="BM74" s="197"/>
      <c r="BN74" s="197"/>
      <c r="BO74" s="197"/>
      <c r="BP74" s="197"/>
      <c r="BQ74" s="197"/>
      <c r="BR74" s="197"/>
      <c r="BS74" s="197"/>
      <c r="BT74" s="197"/>
      <c r="BU74" s="197"/>
      <c r="BV74" s="197"/>
      <c r="BW74" s="197"/>
      <c r="BX74" s="197"/>
      <c r="BY74" s="197"/>
      <c r="BZ74" s="197"/>
      <c r="CA74" s="197"/>
      <c r="CB74" s="197"/>
      <c r="CC74" s="197"/>
      <c r="CD74" s="175"/>
      <c r="DC74" s="174"/>
      <c r="DD74" s="197"/>
      <c r="DE74" s="197"/>
      <c r="DF74" s="197"/>
      <c r="DG74" s="197"/>
      <c r="DH74" s="197"/>
      <c r="DI74" s="197"/>
      <c r="DJ74" s="197"/>
      <c r="DK74" s="197"/>
      <c r="DL74" s="197"/>
      <c r="DM74" s="197"/>
      <c r="DN74" s="197"/>
      <c r="DO74" s="197"/>
      <c r="DP74" s="197"/>
      <c r="DQ74" s="197"/>
      <c r="DR74" s="197"/>
      <c r="DS74" s="197"/>
      <c r="DT74" s="197"/>
      <c r="DU74" s="197"/>
      <c r="DV74" s="197"/>
      <c r="DW74" s="197"/>
      <c r="DX74" s="197"/>
      <c r="DY74" s="197"/>
      <c r="DZ74" s="197"/>
      <c r="EA74" s="197"/>
      <c r="EB74" s="197"/>
      <c r="EC74" s="197"/>
      <c r="ED74" s="175"/>
    </row>
    <row r="75" spans="25:134" x14ac:dyDescent="0.4">
      <c r="Y75" s="174"/>
      <c r="Z75" s="197"/>
      <c r="AA75" s="197"/>
      <c r="AB75" s="197"/>
      <c r="AC75" s="197"/>
      <c r="AD75" s="197"/>
      <c r="AE75" s="197"/>
      <c r="AF75" s="197"/>
      <c r="AG75" s="197"/>
      <c r="AH75" s="197"/>
      <c r="AI75" s="197"/>
      <c r="AJ75" s="197"/>
      <c r="AK75" s="197"/>
      <c r="AL75" s="197"/>
      <c r="AM75" s="197"/>
      <c r="AN75" s="197"/>
      <c r="AO75" s="197"/>
      <c r="AP75" s="197"/>
      <c r="AQ75" s="197"/>
      <c r="AR75" s="197"/>
      <c r="AS75" s="197"/>
      <c r="AT75" s="197"/>
      <c r="AU75" s="197"/>
      <c r="AV75" s="197"/>
      <c r="AW75" s="197"/>
      <c r="AX75" s="197"/>
      <c r="AY75" s="197"/>
      <c r="AZ75" s="175"/>
      <c r="BC75" s="174"/>
      <c r="BD75" s="197"/>
      <c r="BE75" s="197"/>
      <c r="BF75" s="197"/>
      <c r="BG75" s="197"/>
      <c r="BH75" s="197"/>
      <c r="BI75" s="197"/>
      <c r="BJ75" s="197"/>
      <c r="BK75" s="197"/>
      <c r="BL75" s="197"/>
      <c r="BM75" s="197"/>
      <c r="BN75" s="197"/>
      <c r="BO75" s="197"/>
      <c r="BP75" s="197"/>
      <c r="BQ75" s="197"/>
      <c r="BR75" s="197"/>
      <c r="BS75" s="197"/>
      <c r="BT75" s="197"/>
      <c r="BU75" s="197"/>
      <c r="BV75" s="197"/>
      <c r="BW75" s="197"/>
      <c r="BX75" s="197"/>
      <c r="BY75" s="197"/>
      <c r="BZ75" s="197"/>
      <c r="CA75" s="197"/>
      <c r="CB75" s="197"/>
      <c r="CC75" s="197"/>
      <c r="CD75" s="175"/>
      <c r="DC75" s="174"/>
      <c r="DD75" s="197"/>
      <c r="DE75" s="197"/>
      <c r="DF75" s="197"/>
      <c r="DG75" s="197"/>
      <c r="DH75" s="197"/>
      <c r="DI75" s="197"/>
      <c r="DJ75" s="197"/>
      <c r="DK75" s="197"/>
      <c r="DL75" s="197"/>
      <c r="DM75" s="197"/>
      <c r="DN75" s="197"/>
      <c r="DO75" s="197"/>
      <c r="DP75" s="197"/>
      <c r="DQ75" s="197"/>
      <c r="DR75" s="197"/>
      <c r="DS75" s="197"/>
      <c r="DT75" s="197"/>
      <c r="DU75" s="197"/>
      <c r="DV75" s="197"/>
      <c r="DW75" s="197"/>
      <c r="DX75" s="197"/>
      <c r="DY75" s="197"/>
      <c r="DZ75" s="197"/>
      <c r="EA75" s="197"/>
      <c r="EB75" s="197"/>
      <c r="EC75" s="197"/>
      <c r="ED75" s="175"/>
    </row>
    <row r="76" spans="25:134" ht="18" thickBot="1" x14ac:dyDescent="0.45">
      <c r="Y76" s="193"/>
      <c r="Z76" s="313"/>
      <c r="AA76" s="313"/>
      <c r="AB76" s="313"/>
      <c r="AC76" s="313"/>
      <c r="AD76" s="313"/>
      <c r="AE76" s="313"/>
      <c r="AF76" s="313"/>
      <c r="AG76" s="313"/>
      <c r="AH76" s="313"/>
      <c r="AI76" s="313"/>
      <c r="AJ76" s="313"/>
      <c r="AK76" s="313"/>
      <c r="AL76" s="313"/>
      <c r="AM76" s="313"/>
      <c r="AN76" s="313"/>
      <c r="AO76" s="313"/>
      <c r="AP76" s="313"/>
      <c r="AQ76" s="313"/>
      <c r="AR76" s="313"/>
      <c r="AS76" s="313"/>
      <c r="AT76" s="313"/>
      <c r="AU76" s="313"/>
      <c r="AV76" s="313"/>
      <c r="AW76" s="313"/>
      <c r="AX76" s="313"/>
      <c r="AY76" s="313"/>
      <c r="AZ76" s="194"/>
      <c r="BC76" s="193"/>
      <c r="BD76" s="313"/>
      <c r="BE76" s="313"/>
      <c r="BF76" s="313"/>
      <c r="BG76" s="313"/>
      <c r="BH76" s="313"/>
      <c r="BI76" s="313"/>
      <c r="BJ76" s="313"/>
      <c r="BK76" s="313"/>
      <c r="BL76" s="313"/>
      <c r="BM76" s="313"/>
      <c r="BN76" s="313"/>
      <c r="BO76" s="313"/>
      <c r="BP76" s="313"/>
      <c r="BQ76" s="313"/>
      <c r="BR76" s="313"/>
      <c r="BS76" s="313"/>
      <c r="BT76" s="313"/>
      <c r="BU76" s="313"/>
      <c r="BV76" s="313"/>
      <c r="BW76" s="313"/>
      <c r="BX76" s="313"/>
      <c r="BY76" s="313"/>
      <c r="BZ76" s="313"/>
      <c r="CA76" s="313"/>
      <c r="CB76" s="313"/>
      <c r="CC76" s="313"/>
      <c r="CD76" s="194"/>
      <c r="DC76" s="174"/>
      <c r="DD76" s="197"/>
      <c r="DE76" s="197"/>
      <c r="DF76" s="197"/>
      <c r="DG76" s="197"/>
      <c r="DH76" s="197"/>
      <c r="DI76" s="197"/>
      <c r="DJ76" s="197"/>
      <c r="DK76" s="197"/>
      <c r="DL76" s="197"/>
      <c r="DM76" s="197"/>
      <c r="DN76" s="197"/>
      <c r="DO76" s="197"/>
      <c r="DP76" s="197"/>
      <c r="DQ76" s="197"/>
      <c r="DR76" s="197"/>
      <c r="DS76" s="197"/>
      <c r="DT76" s="197"/>
      <c r="DU76" s="197"/>
      <c r="DV76" s="197"/>
      <c r="DW76" s="197"/>
      <c r="DX76" s="197"/>
      <c r="DY76" s="197"/>
      <c r="DZ76" s="197"/>
      <c r="EA76" s="197"/>
      <c r="EB76" s="197"/>
      <c r="EC76" s="197"/>
      <c r="ED76" s="175"/>
    </row>
    <row r="77" spans="25:134" x14ac:dyDescent="0.4">
      <c r="DC77" s="174"/>
      <c r="DD77" s="197"/>
      <c r="DE77" s="197"/>
      <c r="DF77" s="197"/>
      <c r="DG77" s="197"/>
      <c r="DH77" s="197"/>
      <c r="DI77" s="197"/>
      <c r="DJ77" s="197"/>
      <c r="DK77" s="197"/>
      <c r="DL77" s="197"/>
      <c r="DM77" s="197"/>
      <c r="DN77" s="197"/>
      <c r="DO77" s="197"/>
      <c r="DP77" s="197"/>
      <c r="DQ77" s="197"/>
      <c r="DR77" s="197"/>
      <c r="DS77" s="197"/>
      <c r="DT77" s="197"/>
      <c r="DU77" s="197"/>
      <c r="DV77" s="197"/>
      <c r="DW77" s="197"/>
      <c r="DX77" s="197"/>
      <c r="DY77" s="197"/>
      <c r="DZ77" s="197"/>
      <c r="EA77" s="197"/>
      <c r="EB77" s="197"/>
      <c r="EC77" s="197"/>
      <c r="ED77" s="175"/>
    </row>
    <row r="78" spans="25:134" ht="18" thickBot="1" x14ac:dyDescent="0.45">
      <c r="DC78" s="174"/>
      <c r="DD78" s="197"/>
      <c r="DE78" s="197"/>
      <c r="DF78" s="197"/>
      <c r="DG78" s="197"/>
      <c r="DH78" s="197"/>
      <c r="DI78" s="197"/>
      <c r="DJ78" s="197"/>
      <c r="DK78" s="197"/>
      <c r="DL78" s="197"/>
      <c r="DM78" s="197"/>
      <c r="DN78" s="197"/>
      <c r="DO78" s="197"/>
      <c r="DP78" s="197"/>
      <c r="DQ78" s="197"/>
      <c r="DR78" s="197"/>
      <c r="DS78" s="197"/>
      <c r="DT78" s="197"/>
      <c r="DU78" s="197"/>
      <c r="DV78" s="197"/>
      <c r="DW78" s="197"/>
      <c r="DX78" s="197"/>
      <c r="DY78" s="197"/>
      <c r="DZ78" s="197"/>
      <c r="EA78" s="197"/>
      <c r="EB78" s="197"/>
      <c r="EC78" s="197"/>
      <c r="ED78" s="175"/>
    </row>
    <row r="79" spans="25:134" x14ac:dyDescent="0.4">
      <c r="Y79" s="195"/>
      <c r="Z79" s="199"/>
      <c r="AA79" s="199"/>
      <c r="AB79" s="199"/>
      <c r="AC79" s="199"/>
      <c r="AD79" s="199"/>
      <c r="AE79" s="199"/>
      <c r="AF79" s="199"/>
      <c r="AG79" s="199"/>
      <c r="AH79" s="199"/>
      <c r="AI79" s="199"/>
      <c r="AJ79" s="199"/>
      <c r="AK79" s="199"/>
      <c r="AL79" s="199"/>
      <c r="AM79" s="199"/>
      <c r="AN79" s="199"/>
      <c r="AO79" s="199"/>
      <c r="AP79" s="199"/>
      <c r="AQ79" s="199"/>
      <c r="AR79" s="199"/>
      <c r="AS79" s="199"/>
      <c r="AT79" s="199"/>
      <c r="AU79" s="199"/>
      <c r="AV79" s="199"/>
      <c r="AW79" s="199"/>
      <c r="AX79" s="199"/>
      <c r="AY79" s="199"/>
      <c r="AZ79" s="196"/>
      <c r="BC79" s="195"/>
      <c r="BD79" s="199"/>
      <c r="BE79" s="199"/>
      <c r="BF79" s="199"/>
      <c r="BG79" s="199"/>
      <c r="BH79" s="199"/>
      <c r="BI79" s="199"/>
      <c r="BJ79" s="199"/>
      <c r="BK79" s="199"/>
      <c r="BL79" s="199"/>
      <c r="BM79" s="199"/>
      <c r="BN79" s="199"/>
      <c r="BO79" s="199"/>
      <c r="BP79" s="199"/>
      <c r="BQ79" s="199"/>
      <c r="BR79" s="199"/>
      <c r="BS79" s="199"/>
      <c r="BT79" s="199"/>
      <c r="BU79" s="199"/>
      <c r="BV79" s="199"/>
      <c r="BW79" s="199"/>
      <c r="BX79" s="199"/>
      <c r="BY79" s="199"/>
      <c r="BZ79" s="199"/>
      <c r="CA79" s="199"/>
      <c r="CB79" s="199"/>
      <c r="CC79" s="199"/>
      <c r="CD79" s="196"/>
      <c r="DC79" s="174"/>
      <c r="DD79" s="197"/>
      <c r="DE79" s="197"/>
      <c r="DF79" s="197"/>
      <c r="DG79" s="197"/>
      <c r="DH79" s="197"/>
      <c r="DI79" s="197"/>
      <c r="DJ79" s="197"/>
      <c r="DK79" s="197"/>
      <c r="DL79" s="197"/>
      <c r="DM79" s="197"/>
      <c r="DN79" s="197"/>
      <c r="DO79" s="197"/>
      <c r="DP79" s="197"/>
      <c r="DQ79" s="197"/>
      <c r="DR79" s="197"/>
      <c r="DS79" s="197"/>
      <c r="DT79" s="197"/>
      <c r="DU79" s="197"/>
      <c r="DV79" s="197"/>
      <c r="DW79" s="197"/>
      <c r="DX79" s="197"/>
      <c r="DY79" s="197"/>
      <c r="DZ79" s="197"/>
      <c r="EA79" s="197"/>
      <c r="EB79" s="197"/>
      <c r="EC79" s="197"/>
      <c r="ED79" s="175"/>
    </row>
    <row r="80" spans="25:134" x14ac:dyDescent="0.4">
      <c r="Y80" s="174"/>
      <c r="Z80" s="197"/>
      <c r="AA80" s="197"/>
      <c r="AB80" s="197"/>
      <c r="AC80" s="197"/>
      <c r="AD80" s="197"/>
      <c r="AE80" s="197"/>
      <c r="AF80" s="197"/>
      <c r="AG80" s="197"/>
      <c r="AH80" s="197"/>
      <c r="AI80" s="197"/>
      <c r="AJ80" s="197"/>
      <c r="AK80" s="197"/>
      <c r="AL80" s="197"/>
      <c r="AM80" s="197"/>
      <c r="AN80" s="197"/>
      <c r="AO80" s="197"/>
      <c r="AP80" s="197"/>
      <c r="AQ80" s="197"/>
      <c r="AR80" s="197"/>
      <c r="AS80" s="197"/>
      <c r="AT80" s="197"/>
      <c r="AU80" s="197"/>
      <c r="AV80" s="197"/>
      <c r="AW80" s="197"/>
      <c r="AX80" s="197"/>
      <c r="AY80" s="197"/>
      <c r="AZ80" s="175"/>
      <c r="BC80" s="174"/>
      <c r="BD80" s="197"/>
      <c r="BE80" s="197"/>
      <c r="BF80" s="197"/>
      <c r="BG80" s="197"/>
      <c r="BH80" s="197"/>
      <c r="BI80" s="197"/>
      <c r="BJ80" s="197"/>
      <c r="BK80" s="197"/>
      <c r="BL80" s="197"/>
      <c r="BM80" s="197"/>
      <c r="BN80" s="197"/>
      <c r="BO80" s="197"/>
      <c r="BP80" s="197"/>
      <c r="BQ80" s="197"/>
      <c r="BR80" s="197"/>
      <c r="BS80" s="197"/>
      <c r="BT80" s="197"/>
      <c r="BU80" s="197"/>
      <c r="BV80" s="197"/>
      <c r="BW80" s="197"/>
      <c r="BX80" s="197"/>
      <c r="BY80" s="197"/>
      <c r="BZ80" s="197"/>
      <c r="CA80" s="197"/>
      <c r="CB80" s="197"/>
      <c r="CC80" s="197"/>
      <c r="CD80" s="175"/>
      <c r="DC80" s="174"/>
      <c r="DD80" s="197"/>
      <c r="DE80" s="197"/>
      <c r="DF80" s="197"/>
      <c r="DG80" s="197"/>
      <c r="DH80" s="197"/>
      <c r="DI80" s="197"/>
      <c r="DJ80" s="197"/>
      <c r="DK80" s="197"/>
      <c r="DL80" s="197"/>
      <c r="DM80" s="197"/>
      <c r="DN80" s="197"/>
      <c r="DO80" s="197"/>
      <c r="DP80" s="197"/>
      <c r="DQ80" s="197"/>
      <c r="DR80" s="197"/>
      <c r="DS80" s="197"/>
      <c r="DT80" s="197"/>
      <c r="DU80" s="197"/>
      <c r="DV80" s="197"/>
      <c r="DW80" s="197"/>
      <c r="DX80" s="197"/>
      <c r="DY80" s="197"/>
      <c r="DZ80" s="197"/>
      <c r="EA80" s="197"/>
      <c r="EB80" s="197"/>
      <c r="EC80" s="197"/>
      <c r="ED80" s="175"/>
    </row>
    <row r="81" spans="25:134" x14ac:dyDescent="0.4">
      <c r="Y81" s="174"/>
      <c r="Z81" s="197"/>
      <c r="AA81" s="197"/>
      <c r="AB81" s="197"/>
      <c r="AC81" s="197"/>
      <c r="AD81" s="197"/>
      <c r="AE81" s="197"/>
      <c r="AF81" s="197"/>
      <c r="AG81" s="197"/>
      <c r="AH81" s="197"/>
      <c r="AI81" s="197"/>
      <c r="AJ81" s="197"/>
      <c r="AK81" s="197"/>
      <c r="AL81" s="197"/>
      <c r="AM81" s="197"/>
      <c r="AN81" s="197"/>
      <c r="AO81" s="197"/>
      <c r="AP81" s="197"/>
      <c r="AQ81" s="197"/>
      <c r="AR81" s="197"/>
      <c r="AS81" s="197"/>
      <c r="AT81" s="197"/>
      <c r="AU81" s="197"/>
      <c r="AV81" s="197"/>
      <c r="AW81" s="197"/>
      <c r="AX81" s="197"/>
      <c r="AY81" s="197"/>
      <c r="AZ81" s="175"/>
      <c r="BC81" s="174"/>
      <c r="BD81" s="197"/>
      <c r="BE81" s="197"/>
      <c r="BF81" s="197"/>
      <c r="BG81" s="197"/>
      <c r="BH81" s="197"/>
      <c r="BI81" s="197"/>
      <c r="BJ81" s="197"/>
      <c r="BK81" s="197"/>
      <c r="BL81" s="197"/>
      <c r="BM81" s="197"/>
      <c r="BN81" s="197"/>
      <c r="BO81" s="197"/>
      <c r="BP81" s="197"/>
      <c r="BQ81" s="197"/>
      <c r="BR81" s="197"/>
      <c r="BS81" s="197"/>
      <c r="BT81" s="197"/>
      <c r="BU81" s="197"/>
      <c r="BV81" s="197"/>
      <c r="BW81" s="197"/>
      <c r="BX81" s="197"/>
      <c r="BY81" s="197"/>
      <c r="BZ81" s="197"/>
      <c r="CA81" s="197"/>
      <c r="CB81" s="197"/>
      <c r="CC81" s="197"/>
      <c r="CD81" s="175"/>
      <c r="DC81" s="174"/>
      <c r="DD81" s="197"/>
      <c r="DE81" s="197"/>
      <c r="DF81" s="197"/>
      <c r="DG81" s="197"/>
      <c r="DH81" s="197"/>
      <c r="DI81" s="197"/>
      <c r="DJ81" s="197"/>
      <c r="DK81" s="197"/>
      <c r="DL81" s="197"/>
      <c r="DM81" s="197"/>
      <c r="DN81" s="197"/>
      <c r="DO81" s="197"/>
      <c r="DP81" s="197"/>
      <c r="DQ81" s="197"/>
      <c r="DR81" s="197"/>
      <c r="DS81" s="197"/>
      <c r="DT81" s="197"/>
      <c r="DU81" s="197"/>
      <c r="DV81" s="197"/>
      <c r="DW81" s="197"/>
      <c r="DX81" s="197"/>
      <c r="DY81" s="197"/>
      <c r="DZ81" s="197"/>
      <c r="EA81" s="197"/>
      <c r="EB81" s="197"/>
      <c r="EC81" s="197"/>
      <c r="ED81" s="175"/>
    </row>
    <row r="82" spans="25:134" x14ac:dyDescent="0.4">
      <c r="Y82" s="174"/>
      <c r="Z82" s="197"/>
      <c r="AA82" s="197"/>
      <c r="AB82" s="197"/>
      <c r="AC82" s="197"/>
      <c r="AD82" s="197"/>
      <c r="AE82" s="197"/>
      <c r="AF82" s="197"/>
      <c r="AG82" s="197"/>
      <c r="AH82" s="197"/>
      <c r="AI82" s="197"/>
      <c r="AJ82" s="197"/>
      <c r="AK82" s="197"/>
      <c r="AL82" s="197"/>
      <c r="AM82" s="197"/>
      <c r="AN82" s="197"/>
      <c r="AO82" s="197"/>
      <c r="AP82" s="197"/>
      <c r="AQ82" s="197"/>
      <c r="AR82" s="197"/>
      <c r="AS82" s="197"/>
      <c r="AT82" s="197"/>
      <c r="AU82" s="197"/>
      <c r="AV82" s="197"/>
      <c r="AW82" s="197"/>
      <c r="AX82" s="197"/>
      <c r="AY82" s="197"/>
      <c r="AZ82" s="175"/>
      <c r="BC82" s="174"/>
      <c r="BD82" s="197"/>
      <c r="BE82" s="197"/>
      <c r="BF82" s="197"/>
      <c r="BG82" s="197"/>
      <c r="BH82" s="197"/>
      <c r="BI82" s="197"/>
      <c r="BJ82" s="197"/>
      <c r="BK82" s="197"/>
      <c r="BL82" s="197"/>
      <c r="BM82" s="197"/>
      <c r="BN82" s="197"/>
      <c r="BO82" s="197"/>
      <c r="BP82" s="197"/>
      <c r="BQ82" s="197"/>
      <c r="BR82" s="197"/>
      <c r="BS82" s="197"/>
      <c r="BT82" s="197"/>
      <c r="BU82" s="197"/>
      <c r="BV82" s="197"/>
      <c r="BW82" s="197"/>
      <c r="BX82" s="197"/>
      <c r="BY82" s="197"/>
      <c r="BZ82" s="197"/>
      <c r="CA82" s="197"/>
      <c r="CB82" s="197"/>
      <c r="CC82" s="197"/>
      <c r="CD82" s="175"/>
      <c r="DC82" s="174"/>
      <c r="DD82" s="197"/>
      <c r="DE82" s="197"/>
      <c r="DF82" s="197"/>
      <c r="DG82" s="197"/>
      <c r="DH82" s="197"/>
      <c r="DI82" s="197"/>
      <c r="DJ82" s="197"/>
      <c r="DK82" s="197"/>
      <c r="DL82" s="197"/>
      <c r="DM82" s="197"/>
      <c r="DN82" s="197"/>
      <c r="DO82" s="197"/>
      <c r="DP82" s="197"/>
      <c r="DQ82" s="197"/>
      <c r="DR82" s="197"/>
      <c r="DS82" s="197"/>
      <c r="DT82" s="197"/>
      <c r="DU82" s="197"/>
      <c r="DV82" s="197"/>
      <c r="DW82" s="197"/>
      <c r="DX82" s="197"/>
      <c r="DY82" s="197"/>
      <c r="DZ82" s="197"/>
      <c r="EA82" s="197"/>
      <c r="EB82" s="197"/>
      <c r="EC82" s="197"/>
      <c r="ED82" s="175"/>
    </row>
    <row r="83" spans="25:134" ht="18" thickBot="1" x14ac:dyDescent="0.45">
      <c r="Y83" s="174"/>
      <c r="Z83" s="197"/>
      <c r="AA83" s="197"/>
      <c r="AB83" s="197"/>
      <c r="AC83" s="197"/>
      <c r="AD83" s="197"/>
      <c r="AE83" s="197"/>
      <c r="AF83" s="197"/>
      <c r="AG83" s="197"/>
      <c r="AH83" s="197"/>
      <c r="AI83" s="197"/>
      <c r="AJ83" s="197"/>
      <c r="AK83" s="197"/>
      <c r="AL83" s="197"/>
      <c r="AM83" s="197"/>
      <c r="AN83" s="197"/>
      <c r="AO83" s="197"/>
      <c r="AP83" s="197"/>
      <c r="AQ83" s="197"/>
      <c r="AR83" s="197"/>
      <c r="AS83" s="197"/>
      <c r="AT83" s="197"/>
      <c r="AU83" s="197"/>
      <c r="AV83" s="197"/>
      <c r="AW83" s="197"/>
      <c r="AX83" s="197"/>
      <c r="AY83" s="197"/>
      <c r="AZ83" s="175"/>
      <c r="BC83" s="174"/>
      <c r="BD83" s="197"/>
      <c r="BE83" s="197"/>
      <c r="BF83" s="197"/>
      <c r="BG83" s="197"/>
      <c r="BH83" s="197"/>
      <c r="BI83" s="197"/>
      <c r="BJ83" s="197"/>
      <c r="BK83" s="197"/>
      <c r="BL83" s="197"/>
      <c r="BM83" s="197"/>
      <c r="BN83" s="197"/>
      <c r="BO83" s="197"/>
      <c r="BP83" s="197"/>
      <c r="BQ83" s="197"/>
      <c r="BR83" s="197"/>
      <c r="BS83" s="197"/>
      <c r="BT83" s="197"/>
      <c r="BU83" s="197"/>
      <c r="BV83" s="197"/>
      <c r="BW83" s="197"/>
      <c r="BX83" s="197"/>
      <c r="BY83" s="197"/>
      <c r="BZ83" s="197"/>
      <c r="CA83" s="197"/>
      <c r="CB83" s="197"/>
      <c r="CC83" s="197"/>
      <c r="CD83" s="175"/>
      <c r="DC83" s="193"/>
      <c r="DD83" s="313"/>
      <c r="DE83" s="313"/>
      <c r="DF83" s="313"/>
      <c r="DG83" s="313"/>
      <c r="DH83" s="313"/>
      <c r="DI83" s="313"/>
      <c r="DJ83" s="313"/>
      <c r="DK83" s="313"/>
      <c r="DL83" s="313"/>
      <c r="DM83" s="313"/>
      <c r="DN83" s="313"/>
      <c r="DO83" s="313"/>
      <c r="DP83" s="313"/>
      <c r="DQ83" s="313"/>
      <c r="DR83" s="313"/>
      <c r="DS83" s="313"/>
      <c r="DT83" s="313"/>
      <c r="DU83" s="313"/>
      <c r="DV83" s="313"/>
      <c r="DW83" s="313"/>
      <c r="DX83" s="313"/>
      <c r="DY83" s="313"/>
      <c r="DZ83" s="313"/>
      <c r="EA83" s="313"/>
      <c r="EB83" s="313"/>
      <c r="EC83" s="313"/>
      <c r="ED83" s="194"/>
    </row>
    <row r="84" spans="25:134" x14ac:dyDescent="0.4">
      <c r="Y84" s="174"/>
      <c r="Z84" s="197"/>
      <c r="AA84" s="197"/>
      <c r="AB84" s="197"/>
      <c r="AC84" s="197"/>
      <c r="AD84" s="197"/>
      <c r="AE84" s="197"/>
      <c r="AF84" s="197"/>
      <c r="AG84" s="197"/>
      <c r="AH84" s="197"/>
      <c r="AI84" s="197"/>
      <c r="AJ84" s="197"/>
      <c r="AK84" s="197"/>
      <c r="AL84" s="197"/>
      <c r="AM84" s="197"/>
      <c r="AN84" s="197"/>
      <c r="AO84" s="197"/>
      <c r="AP84" s="197"/>
      <c r="AQ84" s="197"/>
      <c r="AR84" s="197"/>
      <c r="AS84" s="197"/>
      <c r="AT84" s="197"/>
      <c r="AU84" s="197"/>
      <c r="AV84" s="197"/>
      <c r="AW84" s="197"/>
      <c r="AX84" s="197"/>
      <c r="AY84" s="197"/>
      <c r="AZ84" s="175"/>
      <c r="BC84" s="174"/>
      <c r="BD84" s="197"/>
      <c r="BE84" s="197"/>
      <c r="BF84" s="197"/>
      <c r="BG84" s="197"/>
      <c r="BH84" s="197"/>
      <c r="BI84" s="197"/>
      <c r="BJ84" s="197"/>
      <c r="BK84" s="197"/>
      <c r="BL84" s="197"/>
      <c r="BM84" s="197"/>
      <c r="BN84" s="197"/>
      <c r="BO84" s="197"/>
      <c r="BP84" s="197"/>
      <c r="BQ84" s="197"/>
      <c r="BR84" s="197"/>
      <c r="BS84" s="197"/>
      <c r="BT84" s="197"/>
      <c r="BU84" s="197"/>
      <c r="BV84" s="197"/>
      <c r="BW84" s="197"/>
      <c r="BX84" s="197"/>
      <c r="BY84" s="197"/>
      <c r="BZ84" s="197"/>
      <c r="CA84" s="197"/>
      <c r="CB84" s="197"/>
      <c r="CC84" s="197"/>
      <c r="CD84" s="175"/>
    </row>
    <row r="85" spans="25:134" x14ac:dyDescent="0.4">
      <c r="Y85" s="174"/>
      <c r="Z85" s="197"/>
      <c r="AA85" s="197"/>
      <c r="AB85" s="197"/>
      <c r="AC85" s="197"/>
      <c r="AD85" s="197"/>
      <c r="AE85" s="197"/>
      <c r="AF85" s="197"/>
      <c r="AG85" s="197"/>
      <c r="AH85" s="197"/>
      <c r="AI85" s="197"/>
      <c r="AJ85" s="197"/>
      <c r="AK85" s="197"/>
      <c r="AL85" s="197"/>
      <c r="AM85" s="197"/>
      <c r="AN85" s="197"/>
      <c r="AO85" s="197"/>
      <c r="AP85" s="197"/>
      <c r="AQ85" s="197"/>
      <c r="AR85" s="197"/>
      <c r="AS85" s="197"/>
      <c r="AT85" s="197"/>
      <c r="AU85" s="197"/>
      <c r="AV85" s="197"/>
      <c r="AW85" s="197"/>
      <c r="AX85" s="197"/>
      <c r="AY85" s="197"/>
      <c r="AZ85" s="175"/>
      <c r="BC85" s="174"/>
      <c r="BD85" s="197"/>
      <c r="BE85" s="197"/>
      <c r="BF85" s="197"/>
      <c r="BG85" s="197"/>
      <c r="BH85" s="197"/>
      <c r="BI85" s="197"/>
      <c r="BJ85" s="197"/>
      <c r="BK85" s="197"/>
      <c r="BL85" s="197"/>
      <c r="BM85" s="197"/>
      <c r="BN85" s="197"/>
      <c r="BO85" s="197"/>
      <c r="BP85" s="197"/>
      <c r="BQ85" s="197"/>
      <c r="BR85" s="197"/>
      <c r="BS85" s="197"/>
      <c r="BT85" s="197"/>
      <c r="BU85" s="197"/>
      <c r="BV85" s="197"/>
      <c r="BW85" s="197"/>
      <c r="BX85" s="197"/>
      <c r="BY85" s="197"/>
      <c r="BZ85" s="197"/>
      <c r="CA85" s="197"/>
      <c r="CB85" s="197"/>
      <c r="CC85" s="197"/>
      <c r="CD85" s="175"/>
    </row>
    <row r="86" spans="25:134" x14ac:dyDescent="0.4">
      <c r="Y86" s="174"/>
      <c r="Z86" s="197"/>
      <c r="AA86" s="197"/>
      <c r="AB86" s="197"/>
      <c r="AC86" s="197"/>
      <c r="AD86" s="197"/>
      <c r="AE86" s="197"/>
      <c r="AF86" s="197"/>
      <c r="AG86" s="197"/>
      <c r="AH86" s="197"/>
      <c r="AI86" s="197"/>
      <c r="AJ86" s="197"/>
      <c r="AK86" s="197"/>
      <c r="AL86" s="197"/>
      <c r="AM86" s="197"/>
      <c r="AN86" s="197"/>
      <c r="AO86" s="197"/>
      <c r="AP86" s="197"/>
      <c r="AQ86" s="197"/>
      <c r="AR86" s="197"/>
      <c r="AS86" s="197"/>
      <c r="AT86" s="197"/>
      <c r="AU86" s="197"/>
      <c r="AV86" s="197"/>
      <c r="AW86" s="197"/>
      <c r="AX86" s="197"/>
      <c r="AY86" s="197"/>
      <c r="AZ86" s="175"/>
      <c r="BC86" s="174"/>
      <c r="BD86" s="197"/>
      <c r="BE86" s="197"/>
      <c r="BF86" s="197"/>
      <c r="BG86" s="197"/>
      <c r="BH86" s="197"/>
      <c r="BI86" s="197"/>
      <c r="BJ86" s="197"/>
      <c r="BK86" s="197"/>
      <c r="BL86" s="197"/>
      <c r="BM86" s="197"/>
      <c r="BN86" s="197"/>
      <c r="BO86" s="197"/>
      <c r="BP86" s="197"/>
      <c r="BQ86" s="197"/>
      <c r="BR86" s="197"/>
      <c r="BS86" s="197"/>
      <c r="BT86" s="197"/>
      <c r="BU86" s="197"/>
      <c r="BV86" s="197"/>
      <c r="BW86" s="197"/>
      <c r="BX86" s="197"/>
      <c r="BY86" s="197"/>
      <c r="BZ86" s="197"/>
      <c r="CA86" s="197"/>
      <c r="CB86" s="197"/>
      <c r="CC86" s="197"/>
      <c r="CD86" s="175"/>
    </row>
    <row r="87" spans="25:134" x14ac:dyDescent="0.4">
      <c r="Y87" s="174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  <c r="AM87" s="197"/>
      <c r="AN87" s="197"/>
      <c r="AO87" s="197"/>
      <c r="AP87" s="197"/>
      <c r="AQ87" s="197"/>
      <c r="AR87" s="197"/>
      <c r="AS87" s="197"/>
      <c r="AT87" s="197"/>
      <c r="AU87" s="197"/>
      <c r="AV87" s="197"/>
      <c r="AW87" s="197"/>
      <c r="AX87" s="197"/>
      <c r="AY87" s="197"/>
      <c r="AZ87" s="175"/>
      <c r="BC87" s="174"/>
      <c r="BD87" s="197"/>
      <c r="BE87" s="197"/>
      <c r="BF87" s="197"/>
      <c r="BG87" s="197"/>
      <c r="BH87" s="197"/>
      <c r="BI87" s="197"/>
      <c r="BJ87" s="197"/>
      <c r="BK87" s="197"/>
      <c r="BL87" s="197"/>
      <c r="BM87" s="197"/>
      <c r="BN87" s="197"/>
      <c r="BO87" s="197"/>
      <c r="BP87" s="197"/>
      <c r="BQ87" s="197"/>
      <c r="BR87" s="197"/>
      <c r="BS87" s="197"/>
      <c r="BT87" s="197"/>
      <c r="BU87" s="197"/>
      <c r="BV87" s="197"/>
      <c r="BW87" s="197"/>
      <c r="BX87" s="197"/>
      <c r="BY87" s="197"/>
      <c r="BZ87" s="197"/>
      <c r="CA87" s="197"/>
      <c r="CB87" s="197"/>
      <c r="CC87" s="197"/>
      <c r="CD87" s="175"/>
    </row>
    <row r="88" spans="25:134" x14ac:dyDescent="0.4">
      <c r="Y88" s="174"/>
      <c r="Z88" s="197"/>
      <c r="AA88" s="197"/>
      <c r="AB88" s="197"/>
      <c r="AC88" s="197"/>
      <c r="AD88" s="197"/>
      <c r="AE88" s="197"/>
      <c r="AF88" s="197"/>
      <c r="AG88" s="197"/>
      <c r="AH88" s="197"/>
      <c r="AI88" s="197"/>
      <c r="AJ88" s="197"/>
      <c r="AK88" s="197"/>
      <c r="AL88" s="197"/>
      <c r="AM88" s="197"/>
      <c r="AN88" s="197"/>
      <c r="AO88" s="197"/>
      <c r="AP88" s="197"/>
      <c r="AQ88" s="197"/>
      <c r="AR88" s="197"/>
      <c r="AS88" s="197"/>
      <c r="AT88" s="197"/>
      <c r="AU88" s="197"/>
      <c r="AV88" s="197"/>
      <c r="AW88" s="197"/>
      <c r="AX88" s="197"/>
      <c r="AY88" s="197"/>
      <c r="AZ88" s="175"/>
      <c r="BC88" s="174"/>
      <c r="BD88" s="197"/>
      <c r="BE88" s="197"/>
      <c r="BF88" s="197"/>
      <c r="BG88" s="197"/>
      <c r="BH88" s="197"/>
      <c r="BI88" s="197"/>
      <c r="BJ88" s="197"/>
      <c r="BK88" s="197"/>
      <c r="BL88" s="197"/>
      <c r="BM88" s="197"/>
      <c r="BN88" s="197"/>
      <c r="BO88" s="197"/>
      <c r="BP88" s="197"/>
      <c r="BQ88" s="197"/>
      <c r="BR88" s="197"/>
      <c r="BS88" s="197"/>
      <c r="BT88" s="197"/>
      <c r="BU88" s="197"/>
      <c r="BV88" s="197"/>
      <c r="BW88" s="197"/>
      <c r="BX88" s="197"/>
      <c r="BY88" s="197"/>
      <c r="BZ88" s="197"/>
      <c r="CA88" s="197"/>
      <c r="CB88" s="197"/>
      <c r="CC88" s="197"/>
      <c r="CD88" s="175"/>
    </row>
    <row r="89" spans="25:134" x14ac:dyDescent="0.4">
      <c r="Y89" s="174"/>
      <c r="Z89" s="197"/>
      <c r="AA89" s="197"/>
      <c r="AB89" s="197"/>
      <c r="AC89" s="197"/>
      <c r="AD89" s="197"/>
      <c r="AE89" s="197"/>
      <c r="AF89" s="197"/>
      <c r="AG89" s="197"/>
      <c r="AH89" s="197"/>
      <c r="AI89" s="197"/>
      <c r="AJ89" s="197"/>
      <c r="AK89" s="197"/>
      <c r="AL89" s="197"/>
      <c r="AM89" s="197"/>
      <c r="AN89" s="197"/>
      <c r="AO89" s="197"/>
      <c r="AP89" s="197"/>
      <c r="AQ89" s="197"/>
      <c r="AR89" s="197"/>
      <c r="AS89" s="197"/>
      <c r="AT89" s="197"/>
      <c r="AU89" s="197"/>
      <c r="AV89" s="197"/>
      <c r="AW89" s="197"/>
      <c r="AX89" s="197"/>
      <c r="AY89" s="197"/>
      <c r="AZ89" s="175"/>
      <c r="BC89" s="174"/>
      <c r="BD89" s="197"/>
      <c r="BE89" s="197"/>
      <c r="BF89" s="197"/>
      <c r="BG89" s="197"/>
      <c r="BH89" s="197"/>
      <c r="BI89" s="197"/>
      <c r="BJ89" s="197"/>
      <c r="BK89" s="197"/>
      <c r="BL89" s="197"/>
      <c r="BM89" s="197"/>
      <c r="BN89" s="197"/>
      <c r="BO89" s="197"/>
      <c r="BP89" s="197"/>
      <c r="BQ89" s="197"/>
      <c r="BR89" s="197"/>
      <c r="BS89" s="197"/>
      <c r="BT89" s="197"/>
      <c r="BU89" s="197"/>
      <c r="BV89" s="197"/>
      <c r="BW89" s="197"/>
      <c r="BX89" s="197"/>
      <c r="BY89" s="197"/>
      <c r="BZ89" s="197"/>
      <c r="CA89" s="197"/>
      <c r="CB89" s="197"/>
      <c r="CC89" s="197"/>
      <c r="CD89" s="175"/>
    </row>
    <row r="90" spans="25:134" x14ac:dyDescent="0.4">
      <c r="Y90" s="174"/>
      <c r="Z90" s="197"/>
      <c r="AA90" s="197"/>
      <c r="AB90" s="197"/>
      <c r="AC90" s="197"/>
      <c r="AD90" s="197"/>
      <c r="AE90" s="197"/>
      <c r="AF90" s="197"/>
      <c r="AG90" s="197"/>
      <c r="AH90" s="197"/>
      <c r="AI90" s="197"/>
      <c r="AJ90" s="197"/>
      <c r="AK90" s="197"/>
      <c r="AL90" s="197"/>
      <c r="AM90" s="197"/>
      <c r="AN90" s="197"/>
      <c r="AO90" s="197"/>
      <c r="AP90" s="197"/>
      <c r="AQ90" s="197"/>
      <c r="AR90" s="197"/>
      <c r="AS90" s="197"/>
      <c r="AT90" s="197"/>
      <c r="AU90" s="197"/>
      <c r="AV90" s="197"/>
      <c r="AW90" s="197"/>
      <c r="AX90" s="197"/>
      <c r="AY90" s="197"/>
      <c r="AZ90" s="175"/>
      <c r="BC90" s="174"/>
      <c r="BD90" s="197"/>
      <c r="BE90" s="197"/>
      <c r="BF90" s="197"/>
      <c r="BG90" s="197"/>
      <c r="BH90" s="197"/>
      <c r="BI90" s="197"/>
      <c r="BJ90" s="197"/>
      <c r="BK90" s="197"/>
      <c r="BL90" s="197"/>
      <c r="BM90" s="197"/>
      <c r="BN90" s="197"/>
      <c r="BO90" s="197"/>
      <c r="BP90" s="197"/>
      <c r="BQ90" s="197"/>
      <c r="BR90" s="197"/>
      <c r="BS90" s="197"/>
      <c r="BT90" s="197"/>
      <c r="BU90" s="197"/>
      <c r="BV90" s="197"/>
      <c r="BW90" s="197"/>
      <c r="BX90" s="197"/>
      <c r="BY90" s="197"/>
      <c r="BZ90" s="197"/>
      <c r="CA90" s="197"/>
      <c r="CB90" s="197"/>
      <c r="CC90" s="197"/>
      <c r="CD90" s="175"/>
    </row>
    <row r="91" spans="25:134" x14ac:dyDescent="0.4">
      <c r="Y91" s="174"/>
      <c r="Z91" s="197"/>
      <c r="AA91" s="197"/>
      <c r="AB91" s="197"/>
      <c r="AC91" s="197"/>
      <c r="AD91" s="197"/>
      <c r="AE91" s="197"/>
      <c r="AF91" s="197"/>
      <c r="AG91" s="197"/>
      <c r="AH91" s="197"/>
      <c r="AI91" s="197"/>
      <c r="AJ91" s="197"/>
      <c r="AK91" s="197"/>
      <c r="AL91" s="197"/>
      <c r="AM91" s="197"/>
      <c r="AN91" s="197"/>
      <c r="AO91" s="197"/>
      <c r="AP91" s="197"/>
      <c r="AQ91" s="197"/>
      <c r="AR91" s="197"/>
      <c r="AS91" s="197"/>
      <c r="AT91" s="197"/>
      <c r="AU91" s="197"/>
      <c r="AV91" s="197"/>
      <c r="AW91" s="197"/>
      <c r="AX91" s="197"/>
      <c r="AY91" s="197"/>
      <c r="AZ91" s="175"/>
      <c r="BC91" s="174"/>
      <c r="BD91" s="197"/>
      <c r="BE91" s="197"/>
      <c r="BF91" s="197"/>
      <c r="BG91" s="197"/>
      <c r="BH91" s="197"/>
      <c r="BI91" s="197"/>
      <c r="BJ91" s="197"/>
      <c r="BK91" s="197"/>
      <c r="BL91" s="197"/>
      <c r="BM91" s="197"/>
      <c r="BN91" s="197"/>
      <c r="BO91" s="197"/>
      <c r="BP91" s="197"/>
      <c r="BQ91" s="197"/>
      <c r="BR91" s="197"/>
      <c r="BS91" s="197"/>
      <c r="BT91" s="197"/>
      <c r="BU91" s="197"/>
      <c r="BV91" s="197"/>
      <c r="BW91" s="197"/>
      <c r="BX91" s="197"/>
      <c r="BY91" s="197"/>
      <c r="BZ91" s="197"/>
      <c r="CA91" s="197"/>
      <c r="CB91" s="197"/>
      <c r="CC91" s="197"/>
      <c r="CD91" s="175"/>
    </row>
    <row r="92" spans="25:134" x14ac:dyDescent="0.4">
      <c r="Y92" s="174"/>
      <c r="Z92" s="197"/>
      <c r="AA92" s="197"/>
      <c r="AB92" s="197"/>
      <c r="AC92" s="197"/>
      <c r="AD92" s="197"/>
      <c r="AE92" s="197"/>
      <c r="AF92" s="197"/>
      <c r="AG92" s="197"/>
      <c r="AH92" s="197"/>
      <c r="AI92" s="197"/>
      <c r="AJ92" s="197"/>
      <c r="AK92" s="197"/>
      <c r="AL92" s="197"/>
      <c r="AM92" s="197"/>
      <c r="AN92" s="197"/>
      <c r="AO92" s="197"/>
      <c r="AP92" s="197"/>
      <c r="AQ92" s="197"/>
      <c r="AR92" s="197"/>
      <c r="AS92" s="197"/>
      <c r="AT92" s="197"/>
      <c r="AU92" s="197"/>
      <c r="AV92" s="197"/>
      <c r="AW92" s="197"/>
      <c r="AX92" s="197"/>
      <c r="AY92" s="197"/>
      <c r="AZ92" s="175"/>
      <c r="BC92" s="174"/>
      <c r="BD92" s="197"/>
      <c r="BE92" s="197"/>
      <c r="BF92" s="197"/>
      <c r="BG92" s="197"/>
      <c r="BH92" s="197"/>
      <c r="BI92" s="197"/>
      <c r="BJ92" s="197"/>
      <c r="BK92" s="197"/>
      <c r="BL92" s="197"/>
      <c r="BM92" s="197"/>
      <c r="BN92" s="197"/>
      <c r="BO92" s="197"/>
      <c r="BP92" s="197"/>
      <c r="BQ92" s="197"/>
      <c r="BR92" s="197"/>
      <c r="BS92" s="197"/>
      <c r="BT92" s="197"/>
      <c r="BU92" s="197"/>
      <c r="BV92" s="197"/>
      <c r="BW92" s="197"/>
      <c r="BX92" s="197"/>
      <c r="BY92" s="197"/>
      <c r="BZ92" s="197"/>
      <c r="CA92" s="197"/>
      <c r="CB92" s="197"/>
      <c r="CC92" s="197"/>
      <c r="CD92" s="175"/>
    </row>
    <row r="93" spans="25:134" x14ac:dyDescent="0.4">
      <c r="Y93" s="174"/>
      <c r="Z93" s="197"/>
      <c r="AA93" s="197"/>
      <c r="AB93" s="197"/>
      <c r="AC93" s="197"/>
      <c r="AD93" s="197"/>
      <c r="AE93" s="197"/>
      <c r="AF93" s="197"/>
      <c r="AG93" s="197"/>
      <c r="AH93" s="197"/>
      <c r="AI93" s="197"/>
      <c r="AJ93" s="197"/>
      <c r="AK93" s="197"/>
      <c r="AL93" s="197"/>
      <c r="AM93" s="197"/>
      <c r="AN93" s="197"/>
      <c r="AO93" s="197"/>
      <c r="AP93" s="197"/>
      <c r="AQ93" s="197"/>
      <c r="AR93" s="197"/>
      <c r="AS93" s="197"/>
      <c r="AT93" s="197"/>
      <c r="AU93" s="197"/>
      <c r="AV93" s="197"/>
      <c r="AW93" s="197"/>
      <c r="AX93" s="197"/>
      <c r="AY93" s="197"/>
      <c r="AZ93" s="175"/>
      <c r="BC93" s="174"/>
      <c r="BD93" s="197"/>
      <c r="BE93" s="197"/>
      <c r="BF93" s="197"/>
      <c r="BG93" s="197"/>
      <c r="BH93" s="197"/>
      <c r="BI93" s="197"/>
      <c r="BJ93" s="197"/>
      <c r="BK93" s="197"/>
      <c r="BL93" s="197"/>
      <c r="BM93" s="197"/>
      <c r="BN93" s="197"/>
      <c r="BO93" s="197"/>
      <c r="BP93" s="197"/>
      <c r="BQ93" s="197"/>
      <c r="BR93" s="197"/>
      <c r="BS93" s="197"/>
      <c r="BT93" s="197"/>
      <c r="BU93" s="197"/>
      <c r="BV93" s="197"/>
      <c r="BW93" s="197"/>
      <c r="BX93" s="197"/>
      <c r="BY93" s="197"/>
      <c r="BZ93" s="197"/>
      <c r="CA93" s="197"/>
      <c r="CB93" s="197"/>
      <c r="CC93" s="197"/>
      <c r="CD93" s="175"/>
    </row>
    <row r="94" spans="25:134" x14ac:dyDescent="0.4">
      <c r="Y94" s="174"/>
      <c r="Z94" s="197"/>
      <c r="AA94" s="197"/>
      <c r="AB94" s="197"/>
      <c r="AC94" s="197"/>
      <c r="AD94" s="197"/>
      <c r="AE94" s="197"/>
      <c r="AF94" s="197"/>
      <c r="AG94" s="197"/>
      <c r="AH94" s="197"/>
      <c r="AI94" s="197"/>
      <c r="AJ94" s="197"/>
      <c r="AK94" s="197"/>
      <c r="AL94" s="197"/>
      <c r="AM94" s="197"/>
      <c r="AN94" s="197"/>
      <c r="AO94" s="197"/>
      <c r="AP94" s="197"/>
      <c r="AQ94" s="197"/>
      <c r="AR94" s="197"/>
      <c r="AS94" s="197"/>
      <c r="AT94" s="197"/>
      <c r="AU94" s="197"/>
      <c r="AV94" s="197"/>
      <c r="AW94" s="197"/>
      <c r="AX94" s="197"/>
      <c r="AY94" s="197"/>
      <c r="AZ94" s="175"/>
      <c r="BC94" s="174"/>
      <c r="BD94" s="197"/>
      <c r="BE94" s="197"/>
      <c r="BF94" s="197"/>
      <c r="BG94" s="197"/>
      <c r="BH94" s="197"/>
      <c r="BI94" s="197"/>
      <c r="BJ94" s="197"/>
      <c r="BK94" s="197"/>
      <c r="BL94" s="197"/>
      <c r="BM94" s="197"/>
      <c r="BN94" s="197"/>
      <c r="BO94" s="197"/>
      <c r="BP94" s="197"/>
      <c r="BQ94" s="197"/>
      <c r="BR94" s="197"/>
      <c r="BS94" s="197"/>
      <c r="BT94" s="197"/>
      <c r="BU94" s="197"/>
      <c r="BV94" s="197"/>
      <c r="BW94" s="197"/>
      <c r="BX94" s="197"/>
      <c r="BY94" s="197"/>
      <c r="BZ94" s="197"/>
      <c r="CA94" s="197"/>
      <c r="CB94" s="197"/>
      <c r="CC94" s="197"/>
      <c r="CD94" s="175"/>
    </row>
    <row r="95" spans="25:134" x14ac:dyDescent="0.4">
      <c r="Y95" s="174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  <c r="AL95" s="197"/>
      <c r="AM95" s="197"/>
      <c r="AN95" s="197"/>
      <c r="AO95" s="197"/>
      <c r="AP95" s="197"/>
      <c r="AQ95" s="197"/>
      <c r="AR95" s="197"/>
      <c r="AS95" s="197"/>
      <c r="AT95" s="197"/>
      <c r="AU95" s="197"/>
      <c r="AV95" s="197"/>
      <c r="AW95" s="197"/>
      <c r="AX95" s="197"/>
      <c r="AY95" s="197"/>
      <c r="AZ95" s="175"/>
      <c r="BC95" s="174"/>
      <c r="BD95" s="197"/>
      <c r="BE95" s="197"/>
      <c r="BF95" s="197"/>
      <c r="BG95" s="197"/>
      <c r="BH95" s="197"/>
      <c r="BI95" s="197"/>
      <c r="BJ95" s="197"/>
      <c r="BK95" s="197"/>
      <c r="BL95" s="197"/>
      <c r="BM95" s="197"/>
      <c r="BN95" s="197"/>
      <c r="BO95" s="197"/>
      <c r="BP95" s="197"/>
      <c r="BQ95" s="197"/>
      <c r="BR95" s="197"/>
      <c r="BS95" s="197"/>
      <c r="BT95" s="197"/>
      <c r="BU95" s="197"/>
      <c r="BV95" s="197"/>
      <c r="BW95" s="197"/>
      <c r="BX95" s="197"/>
      <c r="BY95" s="197"/>
      <c r="BZ95" s="197"/>
      <c r="CA95" s="197"/>
      <c r="CB95" s="197"/>
      <c r="CC95" s="197"/>
      <c r="CD95" s="175"/>
    </row>
    <row r="96" spans="25:134" x14ac:dyDescent="0.4">
      <c r="Y96" s="174"/>
      <c r="Z96" s="197"/>
      <c r="AA96" s="197"/>
      <c r="AB96" s="197"/>
      <c r="AC96" s="197"/>
      <c r="AD96" s="197"/>
      <c r="AE96" s="197"/>
      <c r="AF96" s="197"/>
      <c r="AG96" s="197"/>
      <c r="AH96" s="197"/>
      <c r="AI96" s="197"/>
      <c r="AJ96" s="197"/>
      <c r="AK96" s="197"/>
      <c r="AL96" s="197"/>
      <c r="AM96" s="197"/>
      <c r="AN96" s="197"/>
      <c r="AO96" s="197"/>
      <c r="AP96" s="197"/>
      <c r="AQ96" s="197"/>
      <c r="AR96" s="197"/>
      <c r="AS96" s="197"/>
      <c r="AT96" s="197"/>
      <c r="AU96" s="197"/>
      <c r="AV96" s="197"/>
      <c r="AW96" s="197"/>
      <c r="AX96" s="197"/>
      <c r="AY96" s="197"/>
      <c r="AZ96" s="175"/>
      <c r="BC96" s="174"/>
      <c r="BD96" s="197"/>
      <c r="BE96" s="197"/>
      <c r="BF96" s="197"/>
      <c r="BG96" s="197"/>
      <c r="BH96" s="197"/>
      <c r="BI96" s="197"/>
      <c r="BJ96" s="197"/>
      <c r="BK96" s="197"/>
      <c r="BL96" s="197"/>
      <c r="BM96" s="197"/>
      <c r="BN96" s="197"/>
      <c r="BO96" s="197"/>
      <c r="BP96" s="197"/>
      <c r="BQ96" s="197"/>
      <c r="BR96" s="197"/>
      <c r="BS96" s="197"/>
      <c r="BT96" s="197"/>
      <c r="BU96" s="197"/>
      <c r="BV96" s="197"/>
      <c r="BW96" s="197"/>
      <c r="BX96" s="197"/>
      <c r="BY96" s="197"/>
      <c r="BZ96" s="197"/>
      <c r="CA96" s="197"/>
      <c r="CB96" s="197"/>
      <c r="CC96" s="197"/>
      <c r="CD96" s="175"/>
    </row>
    <row r="97" spans="25:166" x14ac:dyDescent="0.4">
      <c r="Y97" s="174"/>
      <c r="Z97" s="197"/>
      <c r="AA97" s="197"/>
      <c r="AB97" s="197"/>
      <c r="AC97" s="197"/>
      <c r="AD97" s="197"/>
      <c r="AE97" s="197"/>
      <c r="AF97" s="197"/>
      <c r="AG97" s="197"/>
      <c r="AH97" s="197"/>
      <c r="AI97" s="197"/>
      <c r="AJ97" s="197"/>
      <c r="AK97" s="197"/>
      <c r="AL97" s="197"/>
      <c r="AM97" s="197"/>
      <c r="AN97" s="197"/>
      <c r="AO97" s="197"/>
      <c r="AP97" s="197"/>
      <c r="AQ97" s="197"/>
      <c r="AR97" s="197"/>
      <c r="AS97" s="197"/>
      <c r="AT97" s="197"/>
      <c r="AU97" s="197"/>
      <c r="AV97" s="197"/>
      <c r="AW97" s="197"/>
      <c r="AX97" s="197"/>
      <c r="AY97" s="197"/>
      <c r="AZ97" s="175"/>
      <c r="BC97" s="174"/>
      <c r="BD97" s="197"/>
      <c r="BE97" s="197"/>
      <c r="BF97" s="197"/>
      <c r="BG97" s="197"/>
      <c r="BH97" s="197"/>
      <c r="BI97" s="197"/>
      <c r="BJ97" s="197"/>
      <c r="BK97" s="197"/>
      <c r="BL97" s="197"/>
      <c r="BM97" s="197"/>
      <c r="BN97" s="197"/>
      <c r="BO97" s="197"/>
      <c r="BP97" s="197"/>
      <c r="BQ97" s="197"/>
      <c r="BR97" s="197"/>
      <c r="BS97" s="197"/>
      <c r="BT97" s="197"/>
      <c r="BU97" s="197"/>
      <c r="BV97" s="197"/>
      <c r="BW97" s="197"/>
      <c r="BX97" s="197"/>
      <c r="BY97" s="197"/>
      <c r="BZ97" s="197"/>
      <c r="CA97" s="197"/>
      <c r="CB97" s="197"/>
      <c r="CC97" s="197"/>
      <c r="CD97" s="175"/>
    </row>
    <row r="98" spans="25:166" x14ac:dyDescent="0.4">
      <c r="Y98" s="174"/>
      <c r="Z98" s="197"/>
      <c r="AA98" s="197"/>
      <c r="AB98" s="197"/>
      <c r="AC98" s="197"/>
      <c r="AD98" s="197"/>
      <c r="AE98" s="197"/>
      <c r="AF98" s="197"/>
      <c r="AG98" s="197"/>
      <c r="AH98" s="197"/>
      <c r="AI98" s="197"/>
      <c r="AJ98" s="197"/>
      <c r="AK98" s="197"/>
      <c r="AL98" s="197"/>
      <c r="AM98" s="197"/>
      <c r="AN98" s="197"/>
      <c r="AO98" s="197"/>
      <c r="AP98" s="197"/>
      <c r="AQ98" s="197"/>
      <c r="AR98" s="197"/>
      <c r="AS98" s="197"/>
      <c r="AT98" s="197"/>
      <c r="AU98" s="197"/>
      <c r="AV98" s="197"/>
      <c r="AW98" s="197"/>
      <c r="AX98" s="197"/>
      <c r="AY98" s="197"/>
      <c r="AZ98" s="175"/>
      <c r="BC98" s="174"/>
      <c r="BD98" s="197"/>
      <c r="BE98" s="197"/>
      <c r="BF98" s="197"/>
      <c r="BG98" s="197"/>
      <c r="BH98" s="197"/>
      <c r="BI98" s="197"/>
      <c r="BJ98" s="197"/>
      <c r="BK98" s="197"/>
      <c r="BL98" s="197"/>
      <c r="BM98" s="197"/>
      <c r="BN98" s="197"/>
      <c r="BO98" s="197"/>
      <c r="BP98" s="197"/>
      <c r="BQ98" s="197"/>
      <c r="BR98" s="197"/>
      <c r="BS98" s="197"/>
      <c r="BT98" s="197"/>
      <c r="BU98" s="197"/>
      <c r="BV98" s="197"/>
      <c r="BW98" s="197"/>
      <c r="BX98" s="197"/>
      <c r="BY98" s="197"/>
      <c r="BZ98" s="197"/>
      <c r="CA98" s="197"/>
      <c r="CB98" s="197"/>
      <c r="CC98" s="197"/>
      <c r="CD98" s="175"/>
    </row>
    <row r="99" spans="25:166" x14ac:dyDescent="0.4">
      <c r="Y99" s="174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  <c r="AM99" s="197"/>
      <c r="AN99" s="197"/>
      <c r="AO99" s="197"/>
      <c r="AP99" s="197"/>
      <c r="AQ99" s="197"/>
      <c r="AR99" s="197"/>
      <c r="AS99" s="197"/>
      <c r="AT99" s="197"/>
      <c r="AU99" s="197"/>
      <c r="AV99" s="197"/>
      <c r="AW99" s="197"/>
      <c r="AX99" s="197"/>
      <c r="AY99" s="197"/>
      <c r="AZ99" s="175"/>
      <c r="BC99" s="174"/>
      <c r="BD99" s="197"/>
      <c r="BE99" s="197"/>
      <c r="BF99" s="197"/>
      <c r="BG99" s="197"/>
      <c r="BH99" s="197"/>
      <c r="BI99" s="197"/>
      <c r="BJ99" s="197"/>
      <c r="BK99" s="197"/>
      <c r="BL99" s="197"/>
      <c r="BM99" s="197"/>
      <c r="BN99" s="197"/>
      <c r="BO99" s="197"/>
      <c r="BP99" s="197"/>
      <c r="BQ99" s="197"/>
      <c r="BR99" s="197"/>
      <c r="BS99" s="197"/>
      <c r="BT99" s="197"/>
      <c r="BU99" s="197"/>
      <c r="BV99" s="197"/>
      <c r="BW99" s="197"/>
      <c r="BX99" s="197"/>
      <c r="BY99" s="197"/>
      <c r="BZ99" s="197"/>
      <c r="CA99" s="197"/>
      <c r="CB99" s="197"/>
      <c r="CC99" s="197"/>
      <c r="CD99" s="175"/>
    </row>
    <row r="100" spans="25:166" ht="18" thickBot="1" x14ac:dyDescent="0.45">
      <c r="Y100" s="193"/>
      <c r="Z100" s="313"/>
      <c r="AA100" s="313"/>
      <c r="AB100" s="313"/>
      <c r="AC100" s="313"/>
      <c r="AD100" s="313"/>
      <c r="AE100" s="313"/>
      <c r="AF100" s="313"/>
      <c r="AG100" s="313"/>
      <c r="AH100" s="313"/>
      <c r="AI100" s="313"/>
      <c r="AJ100" s="313"/>
      <c r="AK100" s="313"/>
      <c r="AL100" s="313"/>
      <c r="AM100" s="313"/>
      <c r="AN100" s="313"/>
      <c r="AO100" s="313"/>
      <c r="AP100" s="313"/>
      <c r="AQ100" s="313"/>
      <c r="AR100" s="313"/>
      <c r="AS100" s="313"/>
      <c r="AT100" s="313"/>
      <c r="AU100" s="313"/>
      <c r="AV100" s="313"/>
      <c r="AW100" s="313"/>
      <c r="AX100" s="313"/>
      <c r="AY100" s="313"/>
      <c r="AZ100" s="194"/>
      <c r="BC100" s="193"/>
      <c r="BD100" s="313"/>
      <c r="BE100" s="313"/>
      <c r="BF100" s="313"/>
      <c r="BG100" s="313"/>
      <c r="BH100" s="313"/>
      <c r="BI100" s="313"/>
      <c r="BJ100" s="313"/>
      <c r="BK100" s="313"/>
      <c r="BL100" s="313"/>
      <c r="BM100" s="313"/>
      <c r="BN100" s="313"/>
      <c r="BO100" s="313"/>
      <c r="BP100" s="313"/>
      <c r="BQ100" s="313"/>
      <c r="BR100" s="313"/>
      <c r="BS100" s="313"/>
      <c r="BT100" s="313"/>
      <c r="BU100" s="313"/>
      <c r="BV100" s="313"/>
      <c r="BW100" s="313"/>
      <c r="BX100" s="313"/>
      <c r="BY100" s="313"/>
      <c r="BZ100" s="313"/>
      <c r="CA100" s="313"/>
      <c r="CB100" s="313"/>
      <c r="CC100" s="313"/>
      <c r="CD100" s="194"/>
    </row>
    <row r="106" spans="25:166" ht="18" thickBot="1" x14ac:dyDescent="0.45"/>
    <row r="107" spans="25:166" x14ac:dyDescent="0.4">
      <c r="DC107" s="195"/>
      <c r="DD107" s="199"/>
      <c r="DE107" s="199"/>
      <c r="DF107" s="199"/>
      <c r="DG107" s="199"/>
      <c r="DH107" s="199"/>
      <c r="DI107" s="199"/>
      <c r="DJ107" s="199"/>
      <c r="DK107" s="199"/>
      <c r="DL107" s="199"/>
      <c r="DM107" s="199"/>
      <c r="DN107" s="199"/>
      <c r="DO107" s="199"/>
      <c r="DP107" s="199"/>
      <c r="DQ107" s="199"/>
      <c r="DR107" s="199"/>
      <c r="DS107" s="199"/>
      <c r="DT107" s="199"/>
      <c r="DU107" s="199"/>
      <c r="DV107" s="199"/>
      <c r="DW107" s="199"/>
      <c r="DX107" s="199"/>
      <c r="DY107" s="199"/>
      <c r="DZ107" s="199"/>
      <c r="EA107" s="199"/>
      <c r="EB107" s="199"/>
      <c r="EC107" s="199"/>
      <c r="ED107" s="196"/>
      <c r="EI107" s="195"/>
      <c r="EJ107" s="199"/>
      <c r="EK107" s="199"/>
      <c r="EL107" s="199"/>
      <c r="EM107" s="199"/>
      <c r="EN107" s="199"/>
      <c r="EO107" s="199"/>
      <c r="EP107" s="199"/>
      <c r="EQ107" s="199"/>
      <c r="ER107" s="199"/>
      <c r="ES107" s="199"/>
      <c r="ET107" s="199"/>
      <c r="EU107" s="199"/>
      <c r="EV107" s="199"/>
      <c r="EW107" s="199"/>
      <c r="EX107" s="199"/>
      <c r="EY107" s="199"/>
      <c r="EZ107" s="199"/>
      <c r="FA107" s="199"/>
      <c r="FB107" s="199"/>
      <c r="FC107" s="199"/>
      <c r="FD107" s="199"/>
      <c r="FE107" s="199"/>
      <c r="FF107" s="199"/>
      <c r="FG107" s="199"/>
      <c r="FH107" s="199"/>
      <c r="FI107" s="199"/>
      <c r="FJ107" s="196"/>
    </row>
    <row r="108" spans="25:166" x14ac:dyDescent="0.4">
      <c r="DC108" s="174"/>
      <c r="DD108" s="197"/>
      <c r="DE108" s="197"/>
      <c r="DF108" s="197"/>
      <c r="DG108" s="197"/>
      <c r="DH108" s="197"/>
      <c r="DI108" s="197"/>
      <c r="DJ108" s="197"/>
      <c r="DK108" s="197"/>
      <c r="DL108" s="197"/>
      <c r="DM108" s="197"/>
      <c r="DN108" s="197"/>
      <c r="DO108" s="197"/>
      <c r="DP108" s="197"/>
      <c r="DQ108" s="197"/>
      <c r="DR108" s="197"/>
      <c r="DS108" s="197"/>
      <c r="DT108" s="197"/>
      <c r="DU108" s="197"/>
      <c r="DV108" s="197"/>
      <c r="DW108" s="197"/>
      <c r="DX108" s="197"/>
      <c r="DY108" s="197"/>
      <c r="DZ108" s="197"/>
      <c r="EA108" s="197"/>
      <c r="EB108" s="197"/>
      <c r="EC108" s="197"/>
      <c r="ED108" s="175"/>
      <c r="EI108" s="174"/>
      <c r="EJ108" s="197"/>
      <c r="EK108" s="197"/>
      <c r="EL108" s="197"/>
      <c r="EM108" s="197"/>
      <c r="EN108" s="197"/>
      <c r="EO108" s="197"/>
      <c r="EP108" s="197"/>
      <c r="EQ108" s="197"/>
      <c r="ER108" s="197"/>
      <c r="ES108" s="197"/>
      <c r="ET108" s="197"/>
      <c r="EU108" s="197"/>
      <c r="EV108" s="197"/>
      <c r="EW108" s="197"/>
      <c r="EX108" s="197"/>
      <c r="EY108" s="197"/>
      <c r="EZ108" s="197"/>
      <c r="FA108" s="197"/>
      <c r="FB108" s="197"/>
      <c r="FC108" s="197"/>
      <c r="FD108" s="197"/>
      <c r="FE108" s="197"/>
      <c r="FF108" s="197"/>
      <c r="FG108" s="197"/>
      <c r="FH108" s="197"/>
      <c r="FI108" s="197"/>
      <c r="FJ108" s="175"/>
    </row>
    <row r="109" spans="25:166" x14ac:dyDescent="0.4">
      <c r="DC109" s="174"/>
      <c r="DD109" s="197"/>
      <c r="DE109" s="197"/>
      <c r="DF109" s="197"/>
      <c r="DG109" s="197"/>
      <c r="DH109" s="197"/>
      <c r="DI109" s="197"/>
      <c r="DJ109" s="197"/>
      <c r="DK109" s="197"/>
      <c r="DL109" s="197"/>
      <c r="DM109" s="197"/>
      <c r="DN109" s="197"/>
      <c r="DO109" s="197"/>
      <c r="DP109" s="197"/>
      <c r="DQ109" s="197"/>
      <c r="DR109" s="197"/>
      <c r="DS109" s="197"/>
      <c r="DT109" s="197"/>
      <c r="DU109" s="197"/>
      <c r="DV109" s="197"/>
      <c r="DW109" s="197"/>
      <c r="DX109" s="197"/>
      <c r="DY109" s="197"/>
      <c r="DZ109" s="197"/>
      <c r="EA109" s="197"/>
      <c r="EB109" s="197"/>
      <c r="EC109" s="197"/>
      <c r="ED109" s="175"/>
      <c r="EI109" s="174"/>
      <c r="EJ109" s="197"/>
      <c r="EK109" s="197"/>
      <c r="EL109" s="197"/>
      <c r="EM109" s="197"/>
      <c r="EN109" s="197"/>
      <c r="EO109" s="197"/>
      <c r="EP109" s="197"/>
      <c r="EQ109" s="197"/>
      <c r="ER109" s="197"/>
      <c r="ES109" s="197"/>
      <c r="ET109" s="197"/>
      <c r="EU109" s="197"/>
      <c r="EV109" s="197"/>
      <c r="EW109" s="197"/>
      <c r="EX109" s="197"/>
      <c r="EY109" s="197"/>
      <c r="EZ109" s="197"/>
      <c r="FA109" s="197"/>
      <c r="FB109" s="197"/>
      <c r="FC109" s="197"/>
      <c r="FD109" s="197"/>
      <c r="FE109" s="197"/>
      <c r="FF109" s="197"/>
      <c r="FG109" s="197"/>
      <c r="FH109" s="197"/>
      <c r="FI109" s="197"/>
      <c r="FJ109" s="175"/>
    </row>
    <row r="110" spans="25:166" ht="18" thickBot="1" x14ac:dyDescent="0.45">
      <c r="DC110" s="174"/>
      <c r="DD110" s="197"/>
      <c r="DE110" s="197"/>
      <c r="DF110" s="197"/>
      <c r="DG110" s="197"/>
      <c r="DH110" s="197"/>
      <c r="DI110" s="197"/>
      <c r="DJ110" s="197"/>
      <c r="DK110" s="197"/>
      <c r="DL110" s="197"/>
      <c r="DM110" s="197"/>
      <c r="DN110" s="197"/>
      <c r="DO110" s="197"/>
      <c r="DP110" s="197"/>
      <c r="DQ110" s="197"/>
      <c r="DR110" s="197"/>
      <c r="DS110" s="197"/>
      <c r="DT110" s="197"/>
      <c r="DU110" s="197"/>
      <c r="DV110" s="197"/>
      <c r="DW110" s="197"/>
      <c r="DX110" s="197"/>
      <c r="DY110" s="197"/>
      <c r="DZ110" s="197"/>
      <c r="EA110" s="197"/>
      <c r="EB110" s="197"/>
      <c r="EC110" s="197"/>
      <c r="ED110" s="175"/>
      <c r="EI110" s="174"/>
      <c r="EJ110" s="197"/>
      <c r="EK110" s="197"/>
      <c r="EL110" s="197"/>
      <c r="EM110" s="197"/>
      <c r="EN110" s="197"/>
      <c r="EO110" s="197"/>
      <c r="EP110" s="197"/>
      <c r="EQ110" s="197"/>
      <c r="ER110" s="197"/>
      <c r="ES110" s="197"/>
      <c r="ET110" s="197"/>
      <c r="EU110" s="197"/>
      <c r="EV110" s="197"/>
      <c r="EW110" s="197"/>
      <c r="EX110" s="197"/>
      <c r="EY110" s="197"/>
      <c r="EZ110" s="197"/>
      <c r="FA110" s="197"/>
      <c r="FB110" s="197"/>
      <c r="FC110" s="197"/>
      <c r="FD110" s="197"/>
      <c r="FE110" s="197"/>
      <c r="FF110" s="197"/>
      <c r="FG110" s="197"/>
      <c r="FH110" s="197"/>
      <c r="FI110" s="197"/>
      <c r="FJ110" s="175"/>
    </row>
    <row r="111" spans="25:166" x14ac:dyDescent="0.4">
      <c r="AY111" s="314" t="s">
        <v>413</v>
      </c>
      <c r="AZ111" s="315"/>
      <c r="BA111" s="315"/>
      <c r="BB111" s="315"/>
      <c r="BC111" s="315"/>
      <c r="BD111" s="316"/>
      <c r="DC111" s="174"/>
      <c r="DD111" s="197"/>
      <c r="DE111" s="197"/>
      <c r="DF111" s="197"/>
      <c r="DG111" s="197"/>
      <c r="DH111" s="197"/>
      <c r="DI111" s="197"/>
      <c r="DJ111" s="197"/>
      <c r="DK111" s="197"/>
      <c r="DL111" s="197"/>
      <c r="DM111" s="197"/>
      <c r="DN111" s="197"/>
      <c r="DO111" s="197"/>
      <c r="DP111" s="197"/>
      <c r="DQ111" s="197"/>
      <c r="DR111" s="197"/>
      <c r="DS111" s="197"/>
      <c r="DT111" s="197"/>
      <c r="DU111" s="197"/>
      <c r="DV111" s="197"/>
      <c r="DW111" s="197"/>
      <c r="DX111" s="197"/>
      <c r="DY111" s="197"/>
      <c r="DZ111" s="197"/>
      <c r="EA111" s="197"/>
      <c r="EB111" s="197"/>
      <c r="EC111" s="197"/>
      <c r="ED111" s="175"/>
      <c r="EI111" s="174"/>
      <c r="EJ111" s="197"/>
      <c r="EK111" s="197"/>
      <c r="EL111" s="197"/>
      <c r="EM111" s="197"/>
      <c r="EN111" s="197"/>
      <c r="EO111" s="197"/>
      <c r="EP111" s="197"/>
      <c r="EQ111" s="197"/>
      <c r="ER111" s="197"/>
      <c r="ES111" s="197"/>
      <c r="ET111" s="197"/>
      <c r="EU111" s="197"/>
      <c r="EV111" s="197"/>
      <c r="EW111" s="197"/>
      <c r="EX111" s="197"/>
      <c r="EY111" s="197"/>
      <c r="EZ111" s="197"/>
      <c r="FA111" s="197"/>
      <c r="FB111" s="197"/>
      <c r="FC111" s="197"/>
      <c r="FD111" s="197"/>
      <c r="FE111" s="197"/>
      <c r="FF111" s="197"/>
      <c r="FG111" s="197"/>
      <c r="FH111" s="197"/>
      <c r="FI111" s="197"/>
      <c r="FJ111" s="175"/>
    </row>
    <row r="112" spans="25:166" ht="18" thickBot="1" x14ac:dyDescent="0.45">
      <c r="AY112" s="317"/>
      <c r="AZ112" s="318"/>
      <c r="BA112" s="318"/>
      <c r="BB112" s="318"/>
      <c r="BC112" s="318"/>
      <c r="BD112" s="319"/>
      <c r="DC112" s="174"/>
      <c r="DD112" s="197"/>
      <c r="DE112" s="197"/>
      <c r="DF112" s="197"/>
      <c r="DG112" s="197"/>
      <c r="DH112" s="197"/>
      <c r="DI112" s="197"/>
      <c r="DJ112" s="197"/>
      <c r="DK112" s="197"/>
      <c r="DL112" s="197"/>
      <c r="DM112" s="197"/>
      <c r="DN112" s="197"/>
      <c r="DO112" s="197"/>
      <c r="DP112" s="197"/>
      <c r="DQ112" s="197"/>
      <c r="DR112" s="197"/>
      <c r="DS112" s="197"/>
      <c r="DT112" s="197"/>
      <c r="DU112" s="197"/>
      <c r="DV112" s="197"/>
      <c r="DW112" s="197"/>
      <c r="DX112" s="197"/>
      <c r="DY112" s="197"/>
      <c r="DZ112" s="197"/>
      <c r="EA112" s="197"/>
      <c r="EB112" s="197"/>
      <c r="EC112" s="197"/>
      <c r="ED112" s="175"/>
      <c r="EI112" s="174"/>
      <c r="EJ112" s="197"/>
      <c r="EK112" s="197"/>
      <c r="EL112" s="197"/>
      <c r="EM112" s="197"/>
      <c r="EN112" s="197"/>
      <c r="EO112" s="197"/>
      <c r="EP112" s="197"/>
      <c r="EQ112" s="197"/>
      <c r="ER112" s="197"/>
      <c r="ES112" s="197"/>
      <c r="ET112" s="197"/>
      <c r="EU112" s="197"/>
      <c r="EV112" s="197"/>
      <c r="EW112" s="197"/>
      <c r="EX112" s="197"/>
      <c r="EY112" s="197"/>
      <c r="EZ112" s="197"/>
      <c r="FA112" s="197"/>
      <c r="FB112" s="197"/>
      <c r="FC112" s="197"/>
      <c r="FD112" s="197"/>
      <c r="FE112" s="197"/>
      <c r="FF112" s="197"/>
      <c r="FG112" s="197"/>
      <c r="FH112" s="197"/>
      <c r="FI112" s="197"/>
      <c r="FJ112" s="175"/>
    </row>
    <row r="113" spans="25:166" ht="18" thickBot="1" x14ac:dyDescent="0.45">
      <c r="DC113" s="174"/>
      <c r="DD113" s="197"/>
      <c r="DE113" s="197"/>
      <c r="DF113" s="197"/>
      <c r="DG113" s="197"/>
      <c r="DH113" s="197"/>
      <c r="DI113" s="197"/>
      <c r="DJ113" s="197"/>
      <c r="DK113" s="197"/>
      <c r="DL113" s="197"/>
      <c r="DM113" s="197"/>
      <c r="DN113" s="197"/>
      <c r="DO113" s="197"/>
      <c r="DP113" s="197"/>
      <c r="DQ113" s="197"/>
      <c r="DR113" s="197"/>
      <c r="DS113" s="197"/>
      <c r="DT113" s="197"/>
      <c r="DU113" s="197"/>
      <c r="DV113" s="197"/>
      <c r="DW113" s="197"/>
      <c r="DX113" s="197"/>
      <c r="DY113" s="197"/>
      <c r="DZ113" s="197"/>
      <c r="EA113" s="197"/>
      <c r="EB113" s="197"/>
      <c r="EC113" s="197"/>
      <c r="ED113" s="175"/>
      <c r="EI113" s="174"/>
      <c r="EJ113" s="197"/>
      <c r="EK113" s="197"/>
      <c r="EL113" s="197"/>
      <c r="EM113" s="197"/>
      <c r="EN113" s="197"/>
      <c r="EO113" s="197"/>
      <c r="EP113" s="197"/>
      <c r="EQ113" s="197"/>
      <c r="ER113" s="197"/>
      <c r="ES113" s="197"/>
      <c r="ET113" s="197"/>
      <c r="EU113" s="197"/>
      <c r="EV113" s="197"/>
      <c r="EW113" s="197"/>
      <c r="EX113" s="197"/>
      <c r="EY113" s="197"/>
      <c r="EZ113" s="197"/>
      <c r="FA113" s="197"/>
      <c r="FB113" s="197"/>
      <c r="FC113" s="197"/>
      <c r="FD113" s="197"/>
      <c r="FE113" s="197"/>
      <c r="FF113" s="197"/>
      <c r="FG113" s="197"/>
      <c r="FH113" s="197"/>
      <c r="FI113" s="197"/>
      <c r="FJ113" s="175"/>
    </row>
    <row r="114" spans="25:166" x14ac:dyDescent="0.4">
      <c r="Y114" s="195"/>
      <c r="Z114" s="199"/>
      <c r="AA114" s="199"/>
      <c r="AB114" s="199"/>
      <c r="AC114" s="199"/>
      <c r="AD114" s="199"/>
      <c r="AE114" s="199"/>
      <c r="AF114" s="199"/>
      <c r="AG114" s="199"/>
      <c r="AH114" s="199"/>
      <c r="AI114" s="199"/>
      <c r="AJ114" s="199"/>
      <c r="AK114" s="199"/>
      <c r="AL114" s="199"/>
      <c r="AM114" s="199"/>
      <c r="AN114" s="199"/>
      <c r="AO114" s="199"/>
      <c r="AP114" s="199"/>
      <c r="AQ114" s="199"/>
      <c r="AR114" s="199"/>
      <c r="AS114" s="199"/>
      <c r="AT114" s="199"/>
      <c r="AU114" s="199"/>
      <c r="AV114" s="199"/>
      <c r="AW114" s="199"/>
      <c r="AX114" s="199"/>
      <c r="AY114" s="199"/>
      <c r="AZ114" s="196"/>
      <c r="BC114" s="195"/>
      <c r="BD114" s="199"/>
      <c r="BE114" s="199"/>
      <c r="BF114" s="199"/>
      <c r="BG114" s="199"/>
      <c r="BH114" s="199"/>
      <c r="BI114" s="199"/>
      <c r="BJ114" s="199"/>
      <c r="BK114" s="199"/>
      <c r="BL114" s="199"/>
      <c r="BM114" s="199"/>
      <c r="BN114" s="199"/>
      <c r="BO114" s="199"/>
      <c r="BP114" s="199"/>
      <c r="BQ114" s="199"/>
      <c r="BR114" s="199"/>
      <c r="BS114" s="199"/>
      <c r="BT114" s="199"/>
      <c r="BU114" s="199"/>
      <c r="BV114" s="199"/>
      <c r="BW114" s="199"/>
      <c r="BX114" s="199"/>
      <c r="BY114" s="199"/>
      <c r="BZ114" s="199"/>
      <c r="CA114" s="199"/>
      <c r="CB114" s="199"/>
      <c r="CC114" s="199"/>
      <c r="CD114" s="196"/>
      <c r="DC114" s="174"/>
      <c r="DD114" s="197"/>
      <c r="DE114" s="197"/>
      <c r="DF114" s="197"/>
      <c r="DG114" s="197"/>
      <c r="DH114" s="197"/>
      <c r="DI114" s="197"/>
      <c r="DJ114" s="197"/>
      <c r="DK114" s="197"/>
      <c r="DL114" s="197"/>
      <c r="DM114" s="197"/>
      <c r="DN114" s="197"/>
      <c r="DO114" s="197"/>
      <c r="DP114" s="197"/>
      <c r="DQ114" s="197"/>
      <c r="DR114" s="197"/>
      <c r="DS114" s="197"/>
      <c r="DT114" s="197"/>
      <c r="DU114" s="197"/>
      <c r="DV114" s="197"/>
      <c r="DW114" s="197"/>
      <c r="DX114" s="197"/>
      <c r="DY114" s="197"/>
      <c r="DZ114" s="197"/>
      <c r="EA114" s="197"/>
      <c r="EB114" s="197"/>
      <c r="EC114" s="197"/>
      <c r="ED114" s="175"/>
      <c r="EI114" s="174"/>
      <c r="EJ114" s="197"/>
      <c r="EK114" s="197"/>
      <c r="EL114" s="197"/>
      <c r="EM114" s="197"/>
      <c r="EN114" s="197"/>
      <c r="EO114" s="197"/>
      <c r="EP114" s="197"/>
      <c r="EQ114" s="197"/>
      <c r="ER114" s="197"/>
      <c r="ES114" s="197"/>
      <c r="ET114" s="197"/>
      <c r="EU114" s="197"/>
      <c r="EV114" s="197"/>
      <c r="EW114" s="197"/>
      <c r="EX114" s="197"/>
      <c r="EY114" s="197"/>
      <c r="EZ114" s="197"/>
      <c r="FA114" s="197"/>
      <c r="FB114" s="197"/>
      <c r="FC114" s="197"/>
      <c r="FD114" s="197"/>
      <c r="FE114" s="197"/>
      <c r="FF114" s="197"/>
      <c r="FG114" s="197"/>
      <c r="FH114" s="197"/>
      <c r="FI114" s="197"/>
      <c r="FJ114" s="175"/>
    </row>
    <row r="115" spans="25:166" x14ac:dyDescent="0.4">
      <c r="Y115" s="174"/>
      <c r="Z115" s="197"/>
      <c r="AA115" s="197"/>
      <c r="AB115" s="197"/>
      <c r="AC115" s="197"/>
      <c r="AD115" s="197"/>
      <c r="AE115" s="197"/>
      <c r="AF115" s="197"/>
      <c r="AG115" s="197"/>
      <c r="AH115" s="197"/>
      <c r="AI115" s="197"/>
      <c r="AJ115" s="197"/>
      <c r="AK115" s="197"/>
      <c r="AL115" s="197"/>
      <c r="AM115" s="197"/>
      <c r="AN115" s="197"/>
      <c r="AO115" s="197"/>
      <c r="AP115" s="197"/>
      <c r="AQ115" s="197"/>
      <c r="AR115" s="197"/>
      <c r="AS115" s="197"/>
      <c r="AT115" s="197"/>
      <c r="AU115" s="197"/>
      <c r="AV115" s="197"/>
      <c r="AW115" s="197"/>
      <c r="AX115" s="197"/>
      <c r="AY115" s="197"/>
      <c r="AZ115" s="175"/>
      <c r="BC115" s="174"/>
      <c r="BD115" s="197"/>
      <c r="BE115" s="197"/>
      <c r="BF115" s="197"/>
      <c r="BG115" s="197"/>
      <c r="BH115" s="197"/>
      <c r="BI115" s="197"/>
      <c r="BJ115" s="197"/>
      <c r="BK115" s="197"/>
      <c r="BL115" s="197"/>
      <c r="BM115" s="197"/>
      <c r="BN115" s="197"/>
      <c r="BO115" s="197"/>
      <c r="BP115" s="197"/>
      <c r="BQ115" s="197"/>
      <c r="BR115" s="197"/>
      <c r="BS115" s="197"/>
      <c r="BT115" s="197"/>
      <c r="BU115" s="197"/>
      <c r="BV115" s="197"/>
      <c r="BW115" s="197"/>
      <c r="BX115" s="197"/>
      <c r="BY115" s="197"/>
      <c r="BZ115" s="197"/>
      <c r="CA115" s="197"/>
      <c r="CB115" s="197"/>
      <c r="CC115" s="197"/>
      <c r="CD115" s="175"/>
      <c r="DC115" s="174"/>
      <c r="DD115" s="197"/>
      <c r="DE115" s="197"/>
      <c r="DF115" s="197"/>
      <c r="DG115" s="197"/>
      <c r="DH115" s="197"/>
      <c r="DI115" s="197"/>
      <c r="DJ115" s="197"/>
      <c r="DK115" s="197"/>
      <c r="DL115" s="197"/>
      <c r="DM115" s="197"/>
      <c r="DN115" s="197"/>
      <c r="DO115" s="197"/>
      <c r="DP115" s="197"/>
      <c r="DQ115" s="197"/>
      <c r="DR115" s="197"/>
      <c r="DS115" s="197"/>
      <c r="DT115" s="197"/>
      <c r="DU115" s="197"/>
      <c r="DV115" s="197"/>
      <c r="DW115" s="197"/>
      <c r="DX115" s="197"/>
      <c r="DY115" s="197"/>
      <c r="DZ115" s="197"/>
      <c r="EA115" s="197"/>
      <c r="EB115" s="197"/>
      <c r="EC115" s="197"/>
      <c r="ED115" s="175"/>
      <c r="EI115" s="174"/>
      <c r="EJ115" s="197"/>
      <c r="EK115" s="197"/>
      <c r="EL115" s="197"/>
      <c r="EM115" s="197"/>
      <c r="EN115" s="197"/>
      <c r="EO115" s="197"/>
      <c r="EP115" s="197"/>
      <c r="EQ115" s="197"/>
      <c r="ER115" s="197"/>
      <c r="ES115" s="197"/>
      <c r="ET115" s="197"/>
      <c r="EU115" s="197"/>
      <c r="EV115" s="197"/>
      <c r="EW115" s="197"/>
      <c r="EX115" s="197"/>
      <c r="EY115" s="197"/>
      <c r="EZ115" s="197"/>
      <c r="FA115" s="197"/>
      <c r="FB115" s="197"/>
      <c r="FC115" s="197"/>
      <c r="FD115" s="197"/>
      <c r="FE115" s="197"/>
      <c r="FF115" s="197"/>
      <c r="FG115" s="197"/>
      <c r="FH115" s="197"/>
      <c r="FI115" s="197"/>
      <c r="FJ115" s="175"/>
    </row>
    <row r="116" spans="25:166" x14ac:dyDescent="0.4">
      <c r="Y116" s="174"/>
      <c r="Z116" s="197"/>
      <c r="AA116" s="197"/>
      <c r="AB116" s="197"/>
      <c r="AC116" s="197"/>
      <c r="AD116" s="197"/>
      <c r="AE116" s="197"/>
      <c r="AF116" s="197"/>
      <c r="AG116" s="197"/>
      <c r="AH116" s="197"/>
      <c r="AI116" s="197"/>
      <c r="AJ116" s="197"/>
      <c r="AK116" s="197"/>
      <c r="AL116" s="197"/>
      <c r="AM116" s="197"/>
      <c r="AN116" s="197"/>
      <c r="AO116" s="197"/>
      <c r="AP116" s="197"/>
      <c r="AQ116" s="197"/>
      <c r="AR116" s="197"/>
      <c r="AS116" s="197"/>
      <c r="AT116" s="197"/>
      <c r="AU116" s="197"/>
      <c r="AV116" s="197"/>
      <c r="AW116" s="197"/>
      <c r="AX116" s="197"/>
      <c r="AY116" s="197"/>
      <c r="AZ116" s="175"/>
      <c r="BC116" s="174"/>
      <c r="BD116" s="197"/>
      <c r="BE116" s="197"/>
      <c r="BF116" s="197"/>
      <c r="BG116" s="197"/>
      <c r="BH116" s="197"/>
      <c r="BI116" s="197"/>
      <c r="BJ116" s="197"/>
      <c r="BK116" s="197"/>
      <c r="BL116" s="197"/>
      <c r="BM116" s="197"/>
      <c r="BN116" s="197"/>
      <c r="BO116" s="197"/>
      <c r="BP116" s="197"/>
      <c r="BQ116" s="197"/>
      <c r="BR116" s="197"/>
      <c r="BS116" s="197"/>
      <c r="BT116" s="197"/>
      <c r="BU116" s="197"/>
      <c r="BV116" s="197"/>
      <c r="BW116" s="197"/>
      <c r="BX116" s="197"/>
      <c r="BY116" s="197"/>
      <c r="BZ116" s="197"/>
      <c r="CA116" s="197"/>
      <c r="CB116" s="197"/>
      <c r="CC116" s="197"/>
      <c r="CD116" s="175"/>
      <c r="DC116" s="174"/>
      <c r="DD116" s="197"/>
      <c r="DE116" s="197"/>
      <c r="DF116" s="197"/>
      <c r="DG116" s="197"/>
      <c r="DH116" s="197"/>
      <c r="DI116" s="197"/>
      <c r="DJ116" s="197"/>
      <c r="DK116" s="197"/>
      <c r="DL116" s="197"/>
      <c r="DM116" s="197"/>
      <c r="DN116" s="197"/>
      <c r="DO116" s="197"/>
      <c r="DP116" s="197"/>
      <c r="DQ116" s="197"/>
      <c r="DR116" s="197"/>
      <c r="DS116" s="197"/>
      <c r="DT116" s="197"/>
      <c r="DU116" s="197"/>
      <c r="DV116" s="197"/>
      <c r="DW116" s="197"/>
      <c r="DX116" s="197"/>
      <c r="DY116" s="197"/>
      <c r="DZ116" s="197"/>
      <c r="EA116" s="197"/>
      <c r="EB116" s="197"/>
      <c r="EC116" s="197"/>
      <c r="ED116" s="175"/>
      <c r="EI116" s="174"/>
      <c r="EJ116" s="197"/>
      <c r="EK116" s="197"/>
      <c r="EL116" s="197"/>
      <c r="EM116" s="197"/>
      <c r="EN116" s="197"/>
      <c r="EO116" s="197"/>
      <c r="EP116" s="197"/>
      <c r="EQ116" s="197"/>
      <c r="ER116" s="197"/>
      <c r="ES116" s="197"/>
      <c r="ET116" s="197"/>
      <c r="EU116" s="197"/>
      <c r="EV116" s="197"/>
      <c r="EW116" s="197"/>
      <c r="EX116" s="197"/>
      <c r="EY116" s="197"/>
      <c r="EZ116" s="197"/>
      <c r="FA116" s="197"/>
      <c r="FB116" s="197"/>
      <c r="FC116" s="197"/>
      <c r="FD116" s="197"/>
      <c r="FE116" s="197"/>
      <c r="FF116" s="197"/>
      <c r="FG116" s="197"/>
      <c r="FH116" s="197"/>
      <c r="FI116" s="197"/>
      <c r="FJ116" s="175"/>
    </row>
    <row r="117" spans="25:166" x14ac:dyDescent="0.4">
      <c r="Y117" s="174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  <c r="AM117" s="197"/>
      <c r="AN117" s="197"/>
      <c r="AO117" s="197"/>
      <c r="AP117" s="197"/>
      <c r="AQ117" s="197"/>
      <c r="AR117" s="197"/>
      <c r="AS117" s="197"/>
      <c r="AT117" s="197"/>
      <c r="AU117" s="197"/>
      <c r="AV117" s="197"/>
      <c r="AW117" s="197"/>
      <c r="AX117" s="197"/>
      <c r="AY117" s="197"/>
      <c r="AZ117" s="175"/>
      <c r="BC117" s="174"/>
      <c r="BD117" s="197"/>
      <c r="BE117" s="197"/>
      <c r="BF117" s="197"/>
      <c r="BG117" s="197"/>
      <c r="BH117" s="197"/>
      <c r="BI117" s="197"/>
      <c r="BJ117" s="197"/>
      <c r="BK117" s="197"/>
      <c r="BL117" s="197"/>
      <c r="BM117" s="197"/>
      <c r="BN117" s="197"/>
      <c r="BO117" s="197"/>
      <c r="BP117" s="197"/>
      <c r="BQ117" s="197"/>
      <c r="BR117" s="197"/>
      <c r="BS117" s="197"/>
      <c r="BT117" s="197"/>
      <c r="BU117" s="197"/>
      <c r="BV117" s="197"/>
      <c r="BW117" s="197"/>
      <c r="BX117" s="197"/>
      <c r="BY117" s="197"/>
      <c r="BZ117" s="197"/>
      <c r="CA117" s="197"/>
      <c r="CB117" s="197"/>
      <c r="CC117" s="197"/>
      <c r="CD117" s="175"/>
      <c r="DC117" s="174"/>
      <c r="DD117" s="197"/>
      <c r="DE117" s="197"/>
      <c r="DF117" s="197"/>
      <c r="DG117" s="197"/>
      <c r="DH117" s="197"/>
      <c r="DI117" s="197"/>
      <c r="DJ117" s="197"/>
      <c r="DK117" s="197"/>
      <c r="DL117" s="197"/>
      <c r="DM117" s="197"/>
      <c r="DN117" s="197"/>
      <c r="DO117" s="197"/>
      <c r="DP117" s="197"/>
      <c r="DQ117" s="197"/>
      <c r="DR117" s="197"/>
      <c r="DS117" s="197"/>
      <c r="DT117" s="197"/>
      <c r="DU117" s="197"/>
      <c r="DV117" s="197"/>
      <c r="DW117" s="197"/>
      <c r="DX117" s="197"/>
      <c r="DY117" s="197"/>
      <c r="DZ117" s="197"/>
      <c r="EA117" s="197"/>
      <c r="EB117" s="197"/>
      <c r="EC117" s="197"/>
      <c r="ED117" s="175"/>
      <c r="EI117" s="174"/>
      <c r="EJ117" s="197"/>
      <c r="EK117" s="197"/>
      <c r="EL117" s="197"/>
      <c r="EM117" s="197"/>
      <c r="EN117" s="197"/>
      <c r="EO117" s="197"/>
      <c r="EP117" s="197"/>
      <c r="EQ117" s="197"/>
      <c r="ER117" s="197"/>
      <c r="ES117" s="197"/>
      <c r="ET117" s="197"/>
      <c r="EU117" s="197"/>
      <c r="EV117" s="197"/>
      <c r="EW117" s="197"/>
      <c r="EX117" s="197"/>
      <c r="EY117" s="197"/>
      <c r="EZ117" s="197"/>
      <c r="FA117" s="197"/>
      <c r="FB117" s="197"/>
      <c r="FC117" s="197"/>
      <c r="FD117" s="197"/>
      <c r="FE117" s="197"/>
      <c r="FF117" s="197"/>
      <c r="FG117" s="197"/>
      <c r="FH117" s="197"/>
      <c r="FI117" s="197"/>
      <c r="FJ117" s="175"/>
    </row>
    <row r="118" spans="25:166" x14ac:dyDescent="0.4">
      <c r="Y118" s="174"/>
      <c r="Z118" s="197"/>
      <c r="AA118" s="197"/>
      <c r="AB118" s="197"/>
      <c r="AC118" s="197"/>
      <c r="AD118" s="197"/>
      <c r="AE118" s="197"/>
      <c r="AF118" s="197"/>
      <c r="AG118" s="197"/>
      <c r="AH118" s="197"/>
      <c r="AI118" s="197"/>
      <c r="AJ118" s="197"/>
      <c r="AK118" s="197"/>
      <c r="AL118" s="197"/>
      <c r="AM118" s="197"/>
      <c r="AN118" s="197"/>
      <c r="AO118" s="197"/>
      <c r="AP118" s="197"/>
      <c r="AQ118" s="197"/>
      <c r="AR118" s="197"/>
      <c r="AS118" s="197"/>
      <c r="AT118" s="197"/>
      <c r="AU118" s="197"/>
      <c r="AV118" s="197"/>
      <c r="AW118" s="197"/>
      <c r="AX118" s="197"/>
      <c r="AY118" s="197"/>
      <c r="AZ118" s="175"/>
      <c r="BC118" s="174"/>
      <c r="BD118" s="197"/>
      <c r="BE118" s="197"/>
      <c r="BF118" s="197"/>
      <c r="BG118" s="197"/>
      <c r="BH118" s="197"/>
      <c r="BI118" s="197"/>
      <c r="BJ118" s="197"/>
      <c r="BK118" s="197"/>
      <c r="BL118" s="197"/>
      <c r="BM118" s="197"/>
      <c r="BN118" s="197"/>
      <c r="BO118" s="197"/>
      <c r="BP118" s="197"/>
      <c r="BQ118" s="197"/>
      <c r="BR118" s="197"/>
      <c r="BS118" s="197"/>
      <c r="BT118" s="197"/>
      <c r="BU118" s="197"/>
      <c r="BV118" s="197"/>
      <c r="BW118" s="197"/>
      <c r="BX118" s="197"/>
      <c r="BY118" s="197"/>
      <c r="BZ118" s="197"/>
      <c r="CA118" s="197"/>
      <c r="CB118" s="197"/>
      <c r="CC118" s="197"/>
      <c r="CD118" s="175"/>
      <c r="DC118" s="174"/>
      <c r="DD118" s="197"/>
      <c r="DE118" s="197"/>
      <c r="DF118" s="197"/>
      <c r="DG118" s="197"/>
      <c r="DH118" s="197"/>
      <c r="DI118" s="197"/>
      <c r="DJ118" s="197"/>
      <c r="DK118" s="197"/>
      <c r="DL118" s="197"/>
      <c r="DM118" s="197"/>
      <c r="DN118" s="197"/>
      <c r="DO118" s="197"/>
      <c r="DP118" s="197"/>
      <c r="DQ118" s="197"/>
      <c r="DR118" s="197"/>
      <c r="DS118" s="197"/>
      <c r="DT118" s="197"/>
      <c r="DU118" s="197"/>
      <c r="DV118" s="197"/>
      <c r="DW118" s="197"/>
      <c r="DX118" s="197"/>
      <c r="DY118" s="197"/>
      <c r="DZ118" s="197"/>
      <c r="EA118" s="197"/>
      <c r="EB118" s="197"/>
      <c r="EC118" s="197"/>
      <c r="ED118" s="175"/>
      <c r="EI118" s="174"/>
      <c r="EJ118" s="197"/>
      <c r="EK118" s="197"/>
      <c r="EL118" s="197"/>
      <c r="EM118" s="197"/>
      <c r="EN118" s="197"/>
      <c r="EO118" s="197"/>
      <c r="EP118" s="197"/>
      <c r="EQ118" s="197"/>
      <c r="ER118" s="197"/>
      <c r="ES118" s="197"/>
      <c r="ET118" s="197"/>
      <c r="EU118" s="197"/>
      <c r="EV118" s="197"/>
      <c r="EW118" s="197"/>
      <c r="EX118" s="197"/>
      <c r="EY118" s="197"/>
      <c r="EZ118" s="197"/>
      <c r="FA118" s="197"/>
      <c r="FB118" s="197"/>
      <c r="FC118" s="197"/>
      <c r="FD118" s="197"/>
      <c r="FE118" s="197"/>
      <c r="FF118" s="197"/>
      <c r="FG118" s="197"/>
      <c r="FH118" s="197"/>
      <c r="FI118" s="197"/>
      <c r="FJ118" s="175"/>
    </row>
    <row r="119" spans="25:166" x14ac:dyDescent="0.4">
      <c r="Y119" s="174"/>
      <c r="Z119" s="197"/>
      <c r="AA119" s="197"/>
      <c r="AB119" s="197"/>
      <c r="AC119" s="197"/>
      <c r="AD119" s="197"/>
      <c r="AE119" s="197"/>
      <c r="AF119" s="197"/>
      <c r="AG119" s="197"/>
      <c r="AH119" s="197"/>
      <c r="AI119" s="197"/>
      <c r="AJ119" s="197"/>
      <c r="AK119" s="197"/>
      <c r="AL119" s="197"/>
      <c r="AM119" s="197"/>
      <c r="AN119" s="197"/>
      <c r="AO119" s="197"/>
      <c r="AP119" s="197"/>
      <c r="AQ119" s="197"/>
      <c r="AR119" s="197"/>
      <c r="AS119" s="197"/>
      <c r="AT119" s="197"/>
      <c r="AU119" s="197"/>
      <c r="AV119" s="197"/>
      <c r="AW119" s="197"/>
      <c r="AX119" s="197"/>
      <c r="AY119" s="197"/>
      <c r="AZ119" s="175"/>
      <c r="BC119" s="174"/>
      <c r="BD119" s="197"/>
      <c r="BE119" s="197"/>
      <c r="BF119" s="197"/>
      <c r="BG119" s="197"/>
      <c r="BH119" s="197"/>
      <c r="BI119" s="197"/>
      <c r="BJ119" s="197"/>
      <c r="BK119" s="197"/>
      <c r="BL119" s="197"/>
      <c r="BM119" s="197"/>
      <c r="BN119" s="197"/>
      <c r="BO119" s="197"/>
      <c r="BP119" s="197"/>
      <c r="BQ119" s="197"/>
      <c r="BR119" s="197"/>
      <c r="BS119" s="197"/>
      <c r="BT119" s="197"/>
      <c r="BU119" s="197"/>
      <c r="BV119" s="197"/>
      <c r="BW119" s="197"/>
      <c r="BX119" s="197"/>
      <c r="BY119" s="197"/>
      <c r="BZ119" s="197"/>
      <c r="CA119" s="197"/>
      <c r="CB119" s="197"/>
      <c r="CC119" s="197"/>
      <c r="CD119" s="175"/>
      <c r="DC119" s="174"/>
      <c r="DD119" s="197"/>
      <c r="DE119" s="197"/>
      <c r="DF119" s="197"/>
      <c r="DG119" s="197"/>
      <c r="DH119" s="197"/>
      <c r="DI119" s="197"/>
      <c r="DJ119" s="197"/>
      <c r="DK119" s="197"/>
      <c r="DL119" s="197"/>
      <c r="DM119" s="197"/>
      <c r="DN119" s="197"/>
      <c r="DO119" s="197"/>
      <c r="DP119" s="197"/>
      <c r="DQ119" s="197"/>
      <c r="DR119" s="197"/>
      <c r="DS119" s="197"/>
      <c r="DT119" s="197"/>
      <c r="DU119" s="197"/>
      <c r="DV119" s="197"/>
      <c r="DW119" s="197"/>
      <c r="DX119" s="197"/>
      <c r="DY119" s="197"/>
      <c r="DZ119" s="197"/>
      <c r="EA119" s="197"/>
      <c r="EB119" s="197"/>
      <c r="EC119" s="197"/>
      <c r="ED119" s="175"/>
      <c r="EI119" s="174"/>
      <c r="EJ119" s="197"/>
      <c r="EK119" s="197"/>
      <c r="EL119" s="197"/>
      <c r="EM119" s="197"/>
      <c r="EN119" s="197"/>
      <c r="EO119" s="197"/>
      <c r="EP119" s="197"/>
      <c r="EQ119" s="197"/>
      <c r="ER119" s="197"/>
      <c r="ES119" s="197"/>
      <c r="ET119" s="197"/>
      <c r="EU119" s="197"/>
      <c r="EV119" s="197"/>
      <c r="EW119" s="197"/>
      <c r="EX119" s="197"/>
      <c r="EY119" s="197"/>
      <c r="EZ119" s="197"/>
      <c r="FA119" s="197"/>
      <c r="FB119" s="197"/>
      <c r="FC119" s="197"/>
      <c r="FD119" s="197"/>
      <c r="FE119" s="197"/>
      <c r="FF119" s="197"/>
      <c r="FG119" s="197"/>
      <c r="FH119" s="197"/>
      <c r="FI119" s="197"/>
      <c r="FJ119" s="175"/>
    </row>
    <row r="120" spans="25:166" x14ac:dyDescent="0.4">
      <c r="Y120" s="174"/>
      <c r="Z120" s="197"/>
      <c r="AA120" s="197"/>
      <c r="AB120" s="197"/>
      <c r="AC120" s="197"/>
      <c r="AD120" s="197"/>
      <c r="AE120" s="197"/>
      <c r="AF120" s="197"/>
      <c r="AG120" s="197"/>
      <c r="AH120" s="197"/>
      <c r="AI120" s="197"/>
      <c r="AJ120" s="197"/>
      <c r="AK120" s="197"/>
      <c r="AL120" s="197"/>
      <c r="AM120" s="197"/>
      <c r="AN120" s="197"/>
      <c r="AO120" s="197"/>
      <c r="AP120" s="197"/>
      <c r="AQ120" s="197"/>
      <c r="AR120" s="197"/>
      <c r="AS120" s="197"/>
      <c r="AT120" s="197"/>
      <c r="AU120" s="197"/>
      <c r="AV120" s="197"/>
      <c r="AW120" s="197"/>
      <c r="AX120" s="197"/>
      <c r="AY120" s="197"/>
      <c r="AZ120" s="175"/>
      <c r="BC120" s="174"/>
      <c r="BD120" s="197"/>
      <c r="BE120" s="197"/>
      <c r="BF120" s="197"/>
      <c r="BG120" s="197"/>
      <c r="BH120" s="197"/>
      <c r="BI120" s="197"/>
      <c r="BJ120" s="197"/>
      <c r="BK120" s="197"/>
      <c r="BL120" s="197"/>
      <c r="BM120" s="197"/>
      <c r="BN120" s="197"/>
      <c r="BO120" s="197"/>
      <c r="BP120" s="197"/>
      <c r="BQ120" s="197"/>
      <c r="BR120" s="197"/>
      <c r="BS120" s="197"/>
      <c r="BT120" s="197"/>
      <c r="BU120" s="197"/>
      <c r="BV120" s="197"/>
      <c r="BW120" s="197"/>
      <c r="BX120" s="197"/>
      <c r="BY120" s="197"/>
      <c r="BZ120" s="197"/>
      <c r="CA120" s="197"/>
      <c r="CB120" s="197"/>
      <c r="CC120" s="197"/>
      <c r="CD120" s="175"/>
      <c r="DC120" s="174"/>
      <c r="DD120" s="197"/>
      <c r="DE120" s="197"/>
      <c r="DF120" s="197"/>
      <c r="DG120" s="197"/>
      <c r="DH120" s="197"/>
      <c r="DI120" s="197"/>
      <c r="DJ120" s="197"/>
      <c r="DK120" s="197"/>
      <c r="DL120" s="197"/>
      <c r="DM120" s="197"/>
      <c r="DN120" s="197"/>
      <c r="DO120" s="197"/>
      <c r="DP120" s="197"/>
      <c r="DQ120" s="197"/>
      <c r="DR120" s="197"/>
      <c r="DS120" s="197"/>
      <c r="DT120" s="197"/>
      <c r="DU120" s="197"/>
      <c r="DV120" s="197"/>
      <c r="DW120" s="197"/>
      <c r="DX120" s="197"/>
      <c r="DY120" s="197"/>
      <c r="DZ120" s="197"/>
      <c r="EA120" s="197"/>
      <c r="EB120" s="197"/>
      <c r="EC120" s="197"/>
      <c r="ED120" s="175"/>
      <c r="EI120" s="174"/>
      <c r="EJ120" s="197"/>
      <c r="EK120" s="197"/>
      <c r="EL120" s="197"/>
      <c r="EM120" s="197"/>
      <c r="EN120" s="197"/>
      <c r="EO120" s="197"/>
      <c r="EP120" s="197"/>
      <c r="EQ120" s="197"/>
      <c r="ER120" s="197"/>
      <c r="ES120" s="197"/>
      <c r="ET120" s="197"/>
      <c r="EU120" s="197"/>
      <c r="EV120" s="197"/>
      <c r="EW120" s="197"/>
      <c r="EX120" s="197"/>
      <c r="EY120" s="197"/>
      <c r="EZ120" s="197"/>
      <c r="FA120" s="197"/>
      <c r="FB120" s="197"/>
      <c r="FC120" s="197"/>
      <c r="FD120" s="197"/>
      <c r="FE120" s="197"/>
      <c r="FF120" s="197"/>
      <c r="FG120" s="197"/>
      <c r="FH120" s="197"/>
      <c r="FI120" s="197"/>
      <c r="FJ120" s="175"/>
    </row>
    <row r="121" spans="25:166" x14ac:dyDescent="0.4">
      <c r="Y121" s="174"/>
      <c r="Z121" s="197"/>
      <c r="AA121" s="197"/>
      <c r="AB121" s="197"/>
      <c r="AC121" s="197"/>
      <c r="AD121" s="197"/>
      <c r="AE121" s="197"/>
      <c r="AF121" s="197"/>
      <c r="AG121" s="197"/>
      <c r="AH121" s="197"/>
      <c r="AI121" s="197"/>
      <c r="AJ121" s="197"/>
      <c r="AK121" s="197"/>
      <c r="AL121" s="197"/>
      <c r="AM121" s="197"/>
      <c r="AN121" s="197"/>
      <c r="AO121" s="197"/>
      <c r="AP121" s="197"/>
      <c r="AQ121" s="197"/>
      <c r="AR121" s="197"/>
      <c r="AS121" s="197"/>
      <c r="AT121" s="197"/>
      <c r="AU121" s="197"/>
      <c r="AV121" s="197"/>
      <c r="AW121" s="197"/>
      <c r="AX121" s="197"/>
      <c r="AY121" s="197"/>
      <c r="AZ121" s="175"/>
      <c r="BC121" s="174"/>
      <c r="BD121" s="197"/>
      <c r="BE121" s="197"/>
      <c r="BF121" s="197"/>
      <c r="BG121" s="197"/>
      <c r="BH121" s="197"/>
      <c r="BI121" s="197"/>
      <c r="BJ121" s="197"/>
      <c r="BK121" s="197"/>
      <c r="BL121" s="197"/>
      <c r="BM121" s="197"/>
      <c r="BN121" s="197"/>
      <c r="BO121" s="197"/>
      <c r="BP121" s="197"/>
      <c r="BQ121" s="197"/>
      <c r="BR121" s="197"/>
      <c r="BS121" s="197"/>
      <c r="BT121" s="197"/>
      <c r="BU121" s="197"/>
      <c r="BV121" s="197"/>
      <c r="BW121" s="197"/>
      <c r="BX121" s="197"/>
      <c r="BY121" s="197"/>
      <c r="BZ121" s="197"/>
      <c r="CA121" s="197"/>
      <c r="CB121" s="197"/>
      <c r="CC121" s="197"/>
      <c r="CD121" s="175"/>
      <c r="DC121" s="174"/>
      <c r="DD121" s="197"/>
      <c r="DE121" s="197"/>
      <c r="DF121" s="197"/>
      <c r="DG121" s="197"/>
      <c r="DH121" s="197"/>
      <c r="DI121" s="197"/>
      <c r="DJ121" s="197"/>
      <c r="DK121" s="197"/>
      <c r="DL121" s="197"/>
      <c r="DM121" s="197"/>
      <c r="DN121" s="197"/>
      <c r="DO121" s="197"/>
      <c r="DP121" s="197"/>
      <c r="DQ121" s="197"/>
      <c r="DR121" s="197"/>
      <c r="DS121" s="197"/>
      <c r="DT121" s="197"/>
      <c r="DU121" s="197"/>
      <c r="DV121" s="197"/>
      <c r="DW121" s="197"/>
      <c r="DX121" s="197"/>
      <c r="DY121" s="197"/>
      <c r="DZ121" s="197"/>
      <c r="EA121" s="197"/>
      <c r="EB121" s="197"/>
      <c r="EC121" s="197"/>
      <c r="ED121" s="175"/>
      <c r="EI121" s="174"/>
      <c r="EJ121" s="197"/>
      <c r="EK121" s="197"/>
      <c r="EL121" s="197"/>
      <c r="EM121" s="197"/>
      <c r="EN121" s="197"/>
      <c r="EO121" s="197"/>
      <c r="EP121" s="197"/>
      <c r="EQ121" s="197"/>
      <c r="ER121" s="197"/>
      <c r="ES121" s="197"/>
      <c r="ET121" s="197"/>
      <c r="EU121" s="197"/>
      <c r="EV121" s="197"/>
      <c r="EW121" s="197"/>
      <c r="EX121" s="197"/>
      <c r="EY121" s="197"/>
      <c r="EZ121" s="197"/>
      <c r="FA121" s="197"/>
      <c r="FB121" s="197"/>
      <c r="FC121" s="197"/>
      <c r="FD121" s="197"/>
      <c r="FE121" s="197"/>
      <c r="FF121" s="197"/>
      <c r="FG121" s="197"/>
      <c r="FH121" s="197"/>
      <c r="FI121" s="197"/>
      <c r="FJ121" s="175"/>
    </row>
    <row r="122" spans="25:166" x14ac:dyDescent="0.4">
      <c r="Y122" s="174"/>
      <c r="Z122" s="197"/>
      <c r="AA122" s="197"/>
      <c r="AB122" s="197"/>
      <c r="AC122" s="197"/>
      <c r="AD122" s="197"/>
      <c r="AE122" s="197"/>
      <c r="AF122" s="197"/>
      <c r="AG122" s="197"/>
      <c r="AH122" s="197"/>
      <c r="AI122" s="197"/>
      <c r="AJ122" s="197"/>
      <c r="AK122" s="197"/>
      <c r="AL122" s="197"/>
      <c r="AM122" s="197"/>
      <c r="AN122" s="197"/>
      <c r="AO122" s="197"/>
      <c r="AP122" s="197"/>
      <c r="AQ122" s="197"/>
      <c r="AR122" s="197"/>
      <c r="AS122" s="197"/>
      <c r="AT122" s="197"/>
      <c r="AU122" s="197"/>
      <c r="AV122" s="197"/>
      <c r="AW122" s="197"/>
      <c r="AX122" s="197"/>
      <c r="AY122" s="197"/>
      <c r="AZ122" s="175"/>
      <c r="BC122" s="174"/>
      <c r="BD122" s="197"/>
      <c r="BE122" s="197"/>
      <c r="BF122" s="197"/>
      <c r="BG122" s="197"/>
      <c r="BH122" s="197"/>
      <c r="BI122" s="197"/>
      <c r="BJ122" s="197"/>
      <c r="BK122" s="197"/>
      <c r="BL122" s="197"/>
      <c r="BM122" s="197"/>
      <c r="BN122" s="197"/>
      <c r="BO122" s="197"/>
      <c r="BP122" s="197"/>
      <c r="BQ122" s="197"/>
      <c r="BR122" s="197"/>
      <c r="BS122" s="197"/>
      <c r="BT122" s="197"/>
      <c r="BU122" s="197"/>
      <c r="BV122" s="197"/>
      <c r="BW122" s="197"/>
      <c r="BX122" s="197"/>
      <c r="BY122" s="197"/>
      <c r="BZ122" s="197"/>
      <c r="CA122" s="197"/>
      <c r="CB122" s="197"/>
      <c r="CC122" s="197"/>
      <c r="CD122" s="175"/>
      <c r="DC122" s="174"/>
      <c r="DD122" s="197"/>
      <c r="DE122" s="197"/>
      <c r="DF122" s="197"/>
      <c r="DG122" s="197"/>
      <c r="DH122" s="197"/>
      <c r="DI122" s="197"/>
      <c r="DJ122" s="197"/>
      <c r="DK122" s="197"/>
      <c r="DL122" s="197"/>
      <c r="DM122" s="197"/>
      <c r="DN122" s="197"/>
      <c r="DO122" s="197"/>
      <c r="DP122" s="197"/>
      <c r="DQ122" s="197"/>
      <c r="DR122" s="197"/>
      <c r="DS122" s="197"/>
      <c r="DT122" s="197"/>
      <c r="DU122" s="197"/>
      <c r="DV122" s="197"/>
      <c r="DW122" s="197"/>
      <c r="DX122" s="197"/>
      <c r="DY122" s="197"/>
      <c r="DZ122" s="197"/>
      <c r="EA122" s="197"/>
      <c r="EB122" s="197"/>
      <c r="EC122" s="197"/>
      <c r="ED122" s="175"/>
      <c r="EI122" s="174"/>
      <c r="EJ122" s="197"/>
      <c r="EK122" s="197"/>
      <c r="EL122" s="197"/>
      <c r="EM122" s="197"/>
      <c r="EN122" s="197"/>
      <c r="EO122" s="197"/>
      <c r="EP122" s="197"/>
      <c r="EQ122" s="197"/>
      <c r="ER122" s="197"/>
      <c r="ES122" s="197"/>
      <c r="ET122" s="197"/>
      <c r="EU122" s="197"/>
      <c r="EV122" s="197"/>
      <c r="EW122" s="197"/>
      <c r="EX122" s="197"/>
      <c r="EY122" s="197"/>
      <c r="EZ122" s="197"/>
      <c r="FA122" s="197"/>
      <c r="FB122" s="197"/>
      <c r="FC122" s="197"/>
      <c r="FD122" s="197"/>
      <c r="FE122" s="197"/>
      <c r="FF122" s="197"/>
      <c r="FG122" s="197"/>
      <c r="FH122" s="197"/>
      <c r="FI122" s="197"/>
      <c r="FJ122" s="175"/>
    </row>
    <row r="123" spans="25:166" x14ac:dyDescent="0.4">
      <c r="Y123" s="174"/>
      <c r="Z123" s="197"/>
      <c r="AA123" s="197"/>
      <c r="AB123" s="197"/>
      <c r="AC123" s="197"/>
      <c r="AD123" s="197"/>
      <c r="AE123" s="197"/>
      <c r="AF123" s="197"/>
      <c r="AG123" s="197"/>
      <c r="AH123" s="197"/>
      <c r="AI123" s="197"/>
      <c r="AJ123" s="197"/>
      <c r="AK123" s="197"/>
      <c r="AL123" s="197"/>
      <c r="AM123" s="197"/>
      <c r="AN123" s="197"/>
      <c r="AO123" s="197"/>
      <c r="AP123" s="197"/>
      <c r="AQ123" s="197"/>
      <c r="AR123" s="197"/>
      <c r="AS123" s="197"/>
      <c r="AT123" s="197"/>
      <c r="AU123" s="197"/>
      <c r="AV123" s="197"/>
      <c r="AW123" s="197"/>
      <c r="AX123" s="197"/>
      <c r="AY123" s="197"/>
      <c r="AZ123" s="175"/>
      <c r="BC123" s="174"/>
      <c r="BD123" s="197"/>
      <c r="BE123" s="197"/>
      <c r="BF123" s="197"/>
      <c r="BG123" s="197"/>
      <c r="BH123" s="197"/>
      <c r="BI123" s="197"/>
      <c r="BJ123" s="197"/>
      <c r="BK123" s="197"/>
      <c r="BL123" s="197"/>
      <c r="BM123" s="197"/>
      <c r="BN123" s="197"/>
      <c r="BO123" s="197"/>
      <c r="BP123" s="197"/>
      <c r="BQ123" s="197"/>
      <c r="BR123" s="197"/>
      <c r="BS123" s="197"/>
      <c r="BT123" s="197"/>
      <c r="BU123" s="197"/>
      <c r="BV123" s="197"/>
      <c r="BW123" s="197"/>
      <c r="BX123" s="197"/>
      <c r="BY123" s="197"/>
      <c r="BZ123" s="197"/>
      <c r="CA123" s="197"/>
      <c r="CB123" s="197"/>
      <c r="CC123" s="197"/>
      <c r="CD123" s="175"/>
      <c r="DC123" s="174"/>
      <c r="DD123" s="197"/>
      <c r="DE123" s="197"/>
      <c r="DF123" s="197"/>
      <c r="DG123" s="197"/>
      <c r="DH123" s="197"/>
      <c r="DI123" s="197"/>
      <c r="DJ123" s="197"/>
      <c r="DK123" s="197"/>
      <c r="DL123" s="197"/>
      <c r="DM123" s="197"/>
      <c r="DN123" s="197"/>
      <c r="DO123" s="197"/>
      <c r="DP123" s="197"/>
      <c r="DQ123" s="197"/>
      <c r="DR123" s="197"/>
      <c r="DS123" s="197"/>
      <c r="DT123" s="197"/>
      <c r="DU123" s="197"/>
      <c r="DV123" s="197"/>
      <c r="DW123" s="197"/>
      <c r="DX123" s="197"/>
      <c r="DY123" s="197"/>
      <c r="DZ123" s="197"/>
      <c r="EA123" s="197"/>
      <c r="EB123" s="197"/>
      <c r="EC123" s="197"/>
      <c r="ED123" s="175"/>
      <c r="EI123" s="174"/>
      <c r="EJ123" s="197"/>
      <c r="EK123" s="197"/>
      <c r="EL123" s="197"/>
      <c r="EM123" s="197"/>
      <c r="EN123" s="197"/>
      <c r="EO123" s="197"/>
      <c r="EP123" s="197"/>
      <c r="EQ123" s="197"/>
      <c r="ER123" s="197"/>
      <c r="ES123" s="197"/>
      <c r="ET123" s="197"/>
      <c r="EU123" s="197"/>
      <c r="EV123" s="197"/>
      <c r="EW123" s="197"/>
      <c r="EX123" s="197"/>
      <c r="EY123" s="197"/>
      <c r="EZ123" s="197"/>
      <c r="FA123" s="197"/>
      <c r="FB123" s="197"/>
      <c r="FC123" s="197"/>
      <c r="FD123" s="197"/>
      <c r="FE123" s="197"/>
      <c r="FF123" s="197"/>
      <c r="FG123" s="197"/>
      <c r="FH123" s="197"/>
      <c r="FI123" s="197"/>
      <c r="FJ123" s="175"/>
    </row>
    <row r="124" spans="25:166" x14ac:dyDescent="0.4">
      <c r="Y124" s="174"/>
      <c r="Z124" s="197"/>
      <c r="AA124" s="197"/>
      <c r="AB124" s="197"/>
      <c r="AC124" s="197"/>
      <c r="AD124" s="197"/>
      <c r="AE124" s="197"/>
      <c r="AF124" s="197"/>
      <c r="AG124" s="197"/>
      <c r="AH124" s="197"/>
      <c r="AI124" s="197"/>
      <c r="AJ124" s="197"/>
      <c r="AK124" s="197"/>
      <c r="AL124" s="197"/>
      <c r="AM124" s="197"/>
      <c r="AN124" s="197"/>
      <c r="AO124" s="197"/>
      <c r="AP124" s="197"/>
      <c r="AQ124" s="197"/>
      <c r="AR124" s="197"/>
      <c r="AS124" s="197"/>
      <c r="AT124" s="197"/>
      <c r="AU124" s="197"/>
      <c r="AV124" s="197"/>
      <c r="AW124" s="197"/>
      <c r="AX124" s="197"/>
      <c r="AY124" s="197"/>
      <c r="AZ124" s="175"/>
      <c r="BC124" s="174"/>
      <c r="BD124" s="197"/>
      <c r="BE124" s="197"/>
      <c r="BF124" s="197"/>
      <c r="BG124" s="197"/>
      <c r="BH124" s="197"/>
      <c r="BI124" s="197"/>
      <c r="BJ124" s="197"/>
      <c r="BK124" s="197"/>
      <c r="BL124" s="197"/>
      <c r="BM124" s="197"/>
      <c r="BN124" s="197"/>
      <c r="BO124" s="197"/>
      <c r="BP124" s="197"/>
      <c r="BQ124" s="197"/>
      <c r="BR124" s="197"/>
      <c r="BS124" s="197"/>
      <c r="BT124" s="197"/>
      <c r="BU124" s="197"/>
      <c r="BV124" s="197"/>
      <c r="BW124" s="197"/>
      <c r="BX124" s="197"/>
      <c r="BY124" s="197"/>
      <c r="BZ124" s="197"/>
      <c r="CA124" s="197"/>
      <c r="CB124" s="197"/>
      <c r="CC124" s="197"/>
      <c r="CD124" s="175"/>
      <c r="DC124" s="174"/>
      <c r="DD124" s="197"/>
      <c r="DE124" s="197"/>
      <c r="DF124" s="197"/>
      <c r="DG124" s="197"/>
      <c r="DH124" s="197"/>
      <c r="DI124" s="197"/>
      <c r="DJ124" s="197"/>
      <c r="DK124" s="197"/>
      <c r="DL124" s="197"/>
      <c r="DM124" s="197"/>
      <c r="DN124" s="197"/>
      <c r="DO124" s="197"/>
      <c r="DP124" s="197"/>
      <c r="DQ124" s="197"/>
      <c r="DR124" s="197"/>
      <c r="DS124" s="197"/>
      <c r="DT124" s="197"/>
      <c r="DU124" s="197"/>
      <c r="DV124" s="197"/>
      <c r="DW124" s="197"/>
      <c r="DX124" s="197"/>
      <c r="DY124" s="197"/>
      <c r="DZ124" s="197"/>
      <c r="EA124" s="197"/>
      <c r="EB124" s="197"/>
      <c r="EC124" s="197"/>
      <c r="ED124" s="175"/>
      <c r="EI124" s="174"/>
      <c r="EJ124" s="197"/>
      <c r="EK124" s="197"/>
      <c r="EL124" s="197"/>
      <c r="EM124" s="197"/>
      <c r="EN124" s="197"/>
      <c r="EO124" s="197"/>
      <c r="EP124" s="197"/>
      <c r="EQ124" s="197"/>
      <c r="ER124" s="197"/>
      <c r="ES124" s="197"/>
      <c r="ET124" s="197"/>
      <c r="EU124" s="197"/>
      <c r="EV124" s="197"/>
      <c r="EW124" s="197"/>
      <c r="EX124" s="197"/>
      <c r="EY124" s="197"/>
      <c r="EZ124" s="197"/>
      <c r="FA124" s="197"/>
      <c r="FB124" s="197"/>
      <c r="FC124" s="197"/>
      <c r="FD124" s="197"/>
      <c r="FE124" s="197"/>
      <c r="FF124" s="197"/>
      <c r="FG124" s="197"/>
      <c r="FH124" s="197"/>
      <c r="FI124" s="197"/>
      <c r="FJ124" s="175"/>
    </row>
    <row r="125" spans="25:166" x14ac:dyDescent="0.4">
      <c r="Y125" s="174"/>
      <c r="Z125" s="197"/>
      <c r="AA125" s="197"/>
      <c r="AB125" s="197"/>
      <c r="AC125" s="197"/>
      <c r="AD125" s="197"/>
      <c r="AE125" s="197"/>
      <c r="AF125" s="197"/>
      <c r="AG125" s="197"/>
      <c r="AH125" s="197"/>
      <c r="AI125" s="197"/>
      <c r="AJ125" s="197"/>
      <c r="AK125" s="197"/>
      <c r="AL125" s="197"/>
      <c r="AM125" s="197"/>
      <c r="AN125" s="197"/>
      <c r="AO125" s="197"/>
      <c r="AP125" s="197"/>
      <c r="AQ125" s="197"/>
      <c r="AR125" s="197"/>
      <c r="AS125" s="197"/>
      <c r="AT125" s="197"/>
      <c r="AU125" s="197"/>
      <c r="AV125" s="197"/>
      <c r="AW125" s="197"/>
      <c r="AX125" s="197"/>
      <c r="AY125" s="197"/>
      <c r="AZ125" s="175"/>
      <c r="BC125" s="174"/>
      <c r="BD125" s="197"/>
      <c r="BE125" s="197"/>
      <c r="BF125" s="197"/>
      <c r="BG125" s="197"/>
      <c r="BH125" s="197"/>
      <c r="BI125" s="197"/>
      <c r="BJ125" s="197"/>
      <c r="BK125" s="197"/>
      <c r="BL125" s="197"/>
      <c r="BM125" s="197"/>
      <c r="BN125" s="197"/>
      <c r="BO125" s="197"/>
      <c r="BP125" s="197"/>
      <c r="BQ125" s="197"/>
      <c r="BR125" s="197"/>
      <c r="BS125" s="197"/>
      <c r="BT125" s="197"/>
      <c r="BU125" s="197"/>
      <c r="BV125" s="197"/>
      <c r="BW125" s="197"/>
      <c r="BX125" s="197"/>
      <c r="BY125" s="197"/>
      <c r="BZ125" s="197"/>
      <c r="CA125" s="197"/>
      <c r="CB125" s="197"/>
      <c r="CC125" s="197"/>
      <c r="CD125" s="175"/>
      <c r="DC125" s="174"/>
      <c r="DD125" s="197"/>
      <c r="DE125" s="197"/>
      <c r="DF125" s="197"/>
      <c r="DG125" s="197"/>
      <c r="DH125" s="197"/>
      <c r="DI125" s="197"/>
      <c r="DJ125" s="197"/>
      <c r="DK125" s="197"/>
      <c r="DL125" s="197"/>
      <c r="DM125" s="197"/>
      <c r="DN125" s="197"/>
      <c r="DO125" s="197"/>
      <c r="DP125" s="197"/>
      <c r="DQ125" s="197"/>
      <c r="DR125" s="197"/>
      <c r="DS125" s="197"/>
      <c r="DT125" s="197"/>
      <c r="DU125" s="197"/>
      <c r="DV125" s="197"/>
      <c r="DW125" s="197"/>
      <c r="DX125" s="197"/>
      <c r="DY125" s="197"/>
      <c r="DZ125" s="197"/>
      <c r="EA125" s="197"/>
      <c r="EB125" s="197"/>
      <c r="EC125" s="197"/>
      <c r="ED125" s="175"/>
      <c r="EI125" s="174"/>
      <c r="EJ125" s="197"/>
      <c r="EK125" s="197"/>
      <c r="EL125" s="197"/>
      <c r="EM125" s="197"/>
      <c r="EN125" s="197"/>
      <c r="EO125" s="197"/>
      <c r="EP125" s="197"/>
      <c r="EQ125" s="197"/>
      <c r="ER125" s="197"/>
      <c r="ES125" s="197"/>
      <c r="ET125" s="197"/>
      <c r="EU125" s="197"/>
      <c r="EV125" s="197"/>
      <c r="EW125" s="197"/>
      <c r="EX125" s="197"/>
      <c r="EY125" s="197"/>
      <c r="EZ125" s="197"/>
      <c r="FA125" s="197"/>
      <c r="FB125" s="197"/>
      <c r="FC125" s="197"/>
      <c r="FD125" s="197"/>
      <c r="FE125" s="197"/>
      <c r="FF125" s="197"/>
      <c r="FG125" s="197"/>
      <c r="FH125" s="197"/>
      <c r="FI125" s="197"/>
      <c r="FJ125" s="175"/>
    </row>
    <row r="126" spans="25:166" x14ac:dyDescent="0.4">
      <c r="Y126" s="174"/>
      <c r="Z126" s="197"/>
      <c r="AA126" s="197"/>
      <c r="AB126" s="197"/>
      <c r="AC126" s="197"/>
      <c r="AD126" s="197"/>
      <c r="AE126" s="197"/>
      <c r="AF126" s="197"/>
      <c r="AG126" s="197"/>
      <c r="AH126" s="197"/>
      <c r="AI126" s="197"/>
      <c r="AJ126" s="197"/>
      <c r="AK126" s="197"/>
      <c r="AL126" s="197"/>
      <c r="AM126" s="197"/>
      <c r="AN126" s="197"/>
      <c r="AO126" s="197"/>
      <c r="AP126" s="197"/>
      <c r="AQ126" s="197"/>
      <c r="AR126" s="197"/>
      <c r="AS126" s="197"/>
      <c r="AT126" s="197"/>
      <c r="AU126" s="197"/>
      <c r="AV126" s="197"/>
      <c r="AW126" s="197"/>
      <c r="AX126" s="197"/>
      <c r="AY126" s="197"/>
      <c r="AZ126" s="175"/>
      <c r="BC126" s="174"/>
      <c r="BD126" s="197"/>
      <c r="BE126" s="197"/>
      <c r="BF126" s="197"/>
      <c r="BG126" s="197"/>
      <c r="BH126" s="197"/>
      <c r="BI126" s="197"/>
      <c r="BJ126" s="197"/>
      <c r="BK126" s="197"/>
      <c r="BL126" s="197"/>
      <c r="BM126" s="197"/>
      <c r="BN126" s="197"/>
      <c r="BO126" s="197"/>
      <c r="BP126" s="197"/>
      <c r="BQ126" s="197"/>
      <c r="BR126" s="197"/>
      <c r="BS126" s="197"/>
      <c r="BT126" s="197"/>
      <c r="BU126" s="197"/>
      <c r="BV126" s="197"/>
      <c r="BW126" s="197"/>
      <c r="BX126" s="197"/>
      <c r="BY126" s="197"/>
      <c r="BZ126" s="197"/>
      <c r="CA126" s="197"/>
      <c r="CB126" s="197"/>
      <c r="CC126" s="197"/>
      <c r="CD126" s="175"/>
      <c r="DC126" s="174"/>
      <c r="DD126" s="197"/>
      <c r="DE126" s="197"/>
      <c r="DF126" s="197"/>
      <c r="DG126" s="197"/>
      <c r="DH126" s="197"/>
      <c r="DI126" s="197"/>
      <c r="DJ126" s="197"/>
      <c r="DK126" s="197"/>
      <c r="DL126" s="197"/>
      <c r="DM126" s="197"/>
      <c r="DN126" s="197"/>
      <c r="DO126" s="197"/>
      <c r="DP126" s="197"/>
      <c r="DQ126" s="197"/>
      <c r="DR126" s="197"/>
      <c r="DS126" s="197"/>
      <c r="DT126" s="197"/>
      <c r="DU126" s="197"/>
      <c r="DV126" s="197"/>
      <c r="DW126" s="197"/>
      <c r="DX126" s="197"/>
      <c r="DY126" s="197"/>
      <c r="DZ126" s="197"/>
      <c r="EA126" s="197"/>
      <c r="EB126" s="197"/>
      <c r="EC126" s="197"/>
      <c r="ED126" s="175"/>
      <c r="EI126" s="174"/>
      <c r="EJ126" s="197"/>
      <c r="EK126" s="197"/>
      <c r="EL126" s="197"/>
      <c r="EM126" s="197"/>
      <c r="EN126" s="197"/>
      <c r="EO126" s="197"/>
      <c r="EP126" s="197"/>
      <c r="EQ126" s="197"/>
      <c r="ER126" s="197"/>
      <c r="ES126" s="197"/>
      <c r="ET126" s="197"/>
      <c r="EU126" s="197"/>
      <c r="EV126" s="197"/>
      <c r="EW126" s="197"/>
      <c r="EX126" s="197"/>
      <c r="EY126" s="197"/>
      <c r="EZ126" s="197"/>
      <c r="FA126" s="197"/>
      <c r="FB126" s="197"/>
      <c r="FC126" s="197"/>
      <c r="FD126" s="197"/>
      <c r="FE126" s="197"/>
      <c r="FF126" s="197"/>
      <c r="FG126" s="197"/>
      <c r="FH126" s="197"/>
      <c r="FI126" s="197"/>
      <c r="FJ126" s="175"/>
    </row>
    <row r="127" spans="25:166" x14ac:dyDescent="0.4">
      <c r="Y127" s="174"/>
      <c r="Z127" s="197"/>
      <c r="AA127" s="197"/>
      <c r="AB127" s="197"/>
      <c r="AC127" s="197"/>
      <c r="AD127" s="197"/>
      <c r="AE127" s="197"/>
      <c r="AF127" s="197"/>
      <c r="AG127" s="197"/>
      <c r="AH127" s="197"/>
      <c r="AI127" s="197"/>
      <c r="AJ127" s="197"/>
      <c r="AK127" s="197"/>
      <c r="AL127" s="197"/>
      <c r="AM127" s="197"/>
      <c r="AN127" s="197"/>
      <c r="AO127" s="197"/>
      <c r="AP127" s="197"/>
      <c r="AQ127" s="197"/>
      <c r="AR127" s="197"/>
      <c r="AS127" s="197"/>
      <c r="AT127" s="197"/>
      <c r="AU127" s="197"/>
      <c r="AV127" s="197"/>
      <c r="AW127" s="197"/>
      <c r="AX127" s="197"/>
      <c r="AY127" s="197"/>
      <c r="AZ127" s="175"/>
      <c r="BC127" s="174"/>
      <c r="BD127" s="197"/>
      <c r="BE127" s="197"/>
      <c r="BF127" s="197"/>
      <c r="BG127" s="197"/>
      <c r="BH127" s="197"/>
      <c r="BI127" s="197"/>
      <c r="BJ127" s="197"/>
      <c r="BK127" s="197"/>
      <c r="BL127" s="197"/>
      <c r="BM127" s="197"/>
      <c r="BN127" s="197"/>
      <c r="BO127" s="197"/>
      <c r="BP127" s="197"/>
      <c r="BQ127" s="197"/>
      <c r="BR127" s="197"/>
      <c r="BS127" s="197"/>
      <c r="BT127" s="197"/>
      <c r="BU127" s="197"/>
      <c r="BV127" s="197"/>
      <c r="BW127" s="197"/>
      <c r="BX127" s="197"/>
      <c r="BY127" s="197"/>
      <c r="BZ127" s="197"/>
      <c r="CA127" s="197"/>
      <c r="CB127" s="197"/>
      <c r="CC127" s="197"/>
      <c r="CD127" s="175"/>
      <c r="DC127" s="174"/>
      <c r="DD127" s="197"/>
      <c r="DE127" s="197"/>
      <c r="DF127" s="197"/>
      <c r="DG127" s="197"/>
      <c r="DH127" s="197"/>
      <c r="DI127" s="197"/>
      <c r="DJ127" s="197"/>
      <c r="DK127" s="197"/>
      <c r="DL127" s="197"/>
      <c r="DM127" s="197"/>
      <c r="DN127" s="197"/>
      <c r="DO127" s="197"/>
      <c r="DP127" s="197"/>
      <c r="DQ127" s="197"/>
      <c r="DR127" s="197"/>
      <c r="DS127" s="197"/>
      <c r="DT127" s="197"/>
      <c r="DU127" s="197"/>
      <c r="DV127" s="197"/>
      <c r="DW127" s="197"/>
      <c r="DX127" s="197"/>
      <c r="DY127" s="197"/>
      <c r="DZ127" s="197"/>
      <c r="EA127" s="197"/>
      <c r="EB127" s="197"/>
      <c r="EC127" s="197"/>
      <c r="ED127" s="175"/>
      <c r="EI127" s="174"/>
      <c r="EJ127" s="197"/>
      <c r="EK127" s="197"/>
      <c r="EL127" s="197"/>
      <c r="EM127" s="197"/>
      <c r="EN127" s="197"/>
      <c r="EO127" s="197"/>
      <c r="EP127" s="197"/>
      <c r="EQ127" s="197"/>
      <c r="ER127" s="197"/>
      <c r="ES127" s="197"/>
      <c r="ET127" s="197"/>
      <c r="EU127" s="197"/>
      <c r="EV127" s="197"/>
      <c r="EW127" s="197"/>
      <c r="EX127" s="197"/>
      <c r="EY127" s="197"/>
      <c r="EZ127" s="197"/>
      <c r="FA127" s="197"/>
      <c r="FB127" s="197"/>
      <c r="FC127" s="197"/>
      <c r="FD127" s="197"/>
      <c r="FE127" s="197"/>
      <c r="FF127" s="197"/>
      <c r="FG127" s="197"/>
      <c r="FH127" s="197"/>
      <c r="FI127" s="197"/>
      <c r="FJ127" s="175"/>
    </row>
    <row r="128" spans="25:166" ht="18" thickBot="1" x14ac:dyDescent="0.45">
      <c r="Y128" s="174"/>
      <c r="Z128" s="197"/>
      <c r="AA128" s="197"/>
      <c r="AB128" s="197"/>
      <c r="AC128" s="197"/>
      <c r="AD128" s="197"/>
      <c r="AE128" s="197"/>
      <c r="AF128" s="197"/>
      <c r="AG128" s="197"/>
      <c r="AH128" s="197"/>
      <c r="AI128" s="197"/>
      <c r="AJ128" s="197"/>
      <c r="AK128" s="197"/>
      <c r="AL128" s="197"/>
      <c r="AM128" s="197"/>
      <c r="AN128" s="197"/>
      <c r="AO128" s="197"/>
      <c r="AP128" s="197"/>
      <c r="AQ128" s="197"/>
      <c r="AR128" s="197"/>
      <c r="AS128" s="197"/>
      <c r="AT128" s="197"/>
      <c r="AU128" s="197"/>
      <c r="AV128" s="197"/>
      <c r="AW128" s="197"/>
      <c r="AX128" s="197"/>
      <c r="AY128" s="197"/>
      <c r="AZ128" s="175"/>
      <c r="BC128" s="174"/>
      <c r="BD128" s="197"/>
      <c r="BE128" s="197"/>
      <c r="BF128" s="197"/>
      <c r="BG128" s="197"/>
      <c r="BH128" s="197"/>
      <c r="BI128" s="197"/>
      <c r="BJ128" s="197"/>
      <c r="BK128" s="197"/>
      <c r="BL128" s="197"/>
      <c r="BM128" s="197"/>
      <c r="BN128" s="197"/>
      <c r="BO128" s="197"/>
      <c r="BP128" s="197"/>
      <c r="BQ128" s="197"/>
      <c r="BR128" s="197"/>
      <c r="BS128" s="197"/>
      <c r="BT128" s="197"/>
      <c r="BU128" s="197"/>
      <c r="BV128" s="197"/>
      <c r="BW128" s="197"/>
      <c r="BX128" s="197"/>
      <c r="BY128" s="197"/>
      <c r="BZ128" s="197"/>
      <c r="CA128" s="197"/>
      <c r="CB128" s="197"/>
      <c r="CC128" s="197"/>
      <c r="CD128" s="175"/>
      <c r="DC128" s="193"/>
      <c r="DD128" s="313"/>
      <c r="DE128" s="313"/>
      <c r="DF128" s="313"/>
      <c r="DG128" s="313"/>
      <c r="DH128" s="313"/>
      <c r="DI128" s="313"/>
      <c r="DJ128" s="313"/>
      <c r="DK128" s="313"/>
      <c r="DL128" s="313"/>
      <c r="DM128" s="313"/>
      <c r="DN128" s="313"/>
      <c r="DO128" s="313"/>
      <c r="DP128" s="313"/>
      <c r="DQ128" s="313"/>
      <c r="DR128" s="313"/>
      <c r="DS128" s="313"/>
      <c r="DT128" s="313"/>
      <c r="DU128" s="313"/>
      <c r="DV128" s="313"/>
      <c r="DW128" s="313"/>
      <c r="DX128" s="313"/>
      <c r="DY128" s="313"/>
      <c r="DZ128" s="313"/>
      <c r="EA128" s="313"/>
      <c r="EB128" s="313"/>
      <c r="EC128" s="313"/>
      <c r="ED128" s="194"/>
      <c r="EI128" s="193"/>
      <c r="EJ128" s="313"/>
      <c r="EK128" s="313"/>
      <c r="EL128" s="313"/>
      <c r="EM128" s="313"/>
      <c r="EN128" s="313"/>
      <c r="EO128" s="313"/>
      <c r="EP128" s="313"/>
      <c r="EQ128" s="313"/>
      <c r="ER128" s="313"/>
      <c r="ES128" s="313"/>
      <c r="ET128" s="313"/>
      <c r="EU128" s="313"/>
      <c r="EV128" s="313"/>
      <c r="EW128" s="313"/>
      <c r="EX128" s="313"/>
      <c r="EY128" s="313"/>
      <c r="EZ128" s="313"/>
      <c r="FA128" s="313"/>
      <c r="FB128" s="313"/>
      <c r="FC128" s="313"/>
      <c r="FD128" s="313"/>
      <c r="FE128" s="313"/>
      <c r="FF128" s="313"/>
      <c r="FG128" s="313"/>
      <c r="FH128" s="313"/>
      <c r="FI128" s="313"/>
      <c r="FJ128" s="194"/>
    </row>
    <row r="129" spans="25:166" x14ac:dyDescent="0.4">
      <c r="Y129" s="174"/>
      <c r="Z129" s="197"/>
      <c r="AA129" s="197"/>
      <c r="AB129" s="197"/>
      <c r="AC129" s="197"/>
      <c r="AD129" s="197"/>
      <c r="AE129" s="197"/>
      <c r="AF129" s="197"/>
      <c r="AG129" s="197"/>
      <c r="AH129" s="197"/>
      <c r="AI129" s="197"/>
      <c r="AJ129" s="197"/>
      <c r="AK129" s="197"/>
      <c r="AL129" s="197"/>
      <c r="AM129" s="197"/>
      <c r="AN129" s="197"/>
      <c r="AO129" s="197"/>
      <c r="AP129" s="197"/>
      <c r="AQ129" s="197"/>
      <c r="AR129" s="197"/>
      <c r="AS129" s="197"/>
      <c r="AT129" s="197"/>
      <c r="AU129" s="197"/>
      <c r="AV129" s="197"/>
      <c r="AW129" s="197"/>
      <c r="AX129" s="197"/>
      <c r="AY129" s="197"/>
      <c r="AZ129" s="175"/>
      <c r="BC129" s="174"/>
      <c r="BD129" s="197"/>
      <c r="BE129" s="197"/>
      <c r="BF129" s="197"/>
      <c r="BG129" s="197"/>
      <c r="BH129" s="197"/>
      <c r="BI129" s="197"/>
      <c r="BJ129" s="197"/>
      <c r="BK129" s="197"/>
      <c r="BL129" s="197"/>
      <c r="BM129" s="197"/>
      <c r="BN129" s="197"/>
      <c r="BO129" s="197"/>
      <c r="BP129" s="197"/>
      <c r="BQ129" s="197"/>
      <c r="BR129" s="197"/>
      <c r="BS129" s="197"/>
      <c r="BT129" s="197"/>
      <c r="BU129" s="197"/>
      <c r="BV129" s="197"/>
      <c r="BW129" s="197"/>
      <c r="BX129" s="197"/>
      <c r="BY129" s="197"/>
      <c r="BZ129" s="197"/>
      <c r="CA129" s="197"/>
      <c r="CB129" s="197"/>
      <c r="CC129" s="197"/>
      <c r="CD129" s="175"/>
    </row>
    <row r="130" spans="25:166" x14ac:dyDescent="0.4">
      <c r="Y130" s="174"/>
      <c r="Z130" s="197"/>
      <c r="AA130" s="197"/>
      <c r="AB130" s="197"/>
      <c r="AC130" s="197"/>
      <c r="AD130" s="197"/>
      <c r="AE130" s="197"/>
      <c r="AF130" s="197"/>
      <c r="AG130" s="197"/>
      <c r="AH130" s="197"/>
      <c r="AI130" s="197"/>
      <c r="AJ130" s="197"/>
      <c r="AK130" s="197"/>
      <c r="AL130" s="197"/>
      <c r="AM130" s="197"/>
      <c r="AN130" s="197"/>
      <c r="AO130" s="197"/>
      <c r="AP130" s="197"/>
      <c r="AQ130" s="197"/>
      <c r="AR130" s="197"/>
      <c r="AS130" s="197"/>
      <c r="AT130" s="197"/>
      <c r="AU130" s="197"/>
      <c r="AV130" s="197"/>
      <c r="AW130" s="197"/>
      <c r="AX130" s="197"/>
      <c r="AY130" s="197"/>
      <c r="AZ130" s="175"/>
      <c r="BC130" s="174"/>
      <c r="BD130" s="197"/>
      <c r="BE130" s="197"/>
      <c r="BF130" s="197"/>
      <c r="BG130" s="197"/>
      <c r="BH130" s="197"/>
      <c r="BI130" s="197"/>
      <c r="BJ130" s="197"/>
      <c r="BK130" s="197"/>
      <c r="BL130" s="197"/>
      <c r="BM130" s="197"/>
      <c r="BN130" s="197"/>
      <c r="BO130" s="197"/>
      <c r="BP130" s="197"/>
      <c r="BQ130" s="197"/>
      <c r="BR130" s="197"/>
      <c r="BS130" s="197"/>
      <c r="BT130" s="197"/>
      <c r="BU130" s="197"/>
      <c r="BV130" s="197"/>
      <c r="BW130" s="197"/>
      <c r="BX130" s="197"/>
      <c r="BY130" s="197"/>
      <c r="BZ130" s="197"/>
      <c r="CA130" s="197"/>
      <c r="CB130" s="197"/>
      <c r="CC130" s="197"/>
      <c r="CD130" s="175"/>
    </row>
    <row r="131" spans="25:166" x14ac:dyDescent="0.4">
      <c r="Y131" s="174"/>
      <c r="Z131" s="197"/>
      <c r="AA131" s="197"/>
      <c r="AB131" s="197"/>
      <c r="AC131" s="197"/>
      <c r="AD131" s="197"/>
      <c r="AE131" s="197"/>
      <c r="AF131" s="197"/>
      <c r="AG131" s="197"/>
      <c r="AH131" s="197"/>
      <c r="AI131" s="197"/>
      <c r="AJ131" s="197"/>
      <c r="AK131" s="197"/>
      <c r="AL131" s="197"/>
      <c r="AM131" s="197"/>
      <c r="AN131" s="197"/>
      <c r="AO131" s="197"/>
      <c r="AP131" s="197"/>
      <c r="AQ131" s="197"/>
      <c r="AR131" s="197"/>
      <c r="AS131" s="197"/>
      <c r="AT131" s="197"/>
      <c r="AU131" s="197"/>
      <c r="AV131" s="197"/>
      <c r="AW131" s="197"/>
      <c r="AX131" s="197"/>
      <c r="AY131" s="197"/>
      <c r="AZ131" s="175"/>
      <c r="BC131" s="174"/>
      <c r="BD131" s="197"/>
      <c r="BE131" s="197"/>
      <c r="BF131" s="197"/>
      <c r="BG131" s="197"/>
      <c r="BH131" s="197"/>
      <c r="BI131" s="197"/>
      <c r="BJ131" s="197"/>
      <c r="BK131" s="197"/>
      <c r="BL131" s="197"/>
      <c r="BM131" s="197"/>
      <c r="BN131" s="197"/>
      <c r="BO131" s="197"/>
      <c r="BP131" s="197"/>
      <c r="BQ131" s="197"/>
      <c r="BR131" s="197"/>
      <c r="BS131" s="197"/>
      <c r="BT131" s="197"/>
      <c r="BU131" s="197"/>
      <c r="BV131" s="197"/>
      <c r="BW131" s="197"/>
      <c r="BX131" s="197"/>
      <c r="BY131" s="197"/>
      <c r="BZ131" s="197"/>
      <c r="CA131" s="197"/>
      <c r="CB131" s="197"/>
      <c r="CC131" s="197"/>
      <c r="CD131" s="175"/>
    </row>
    <row r="132" spans="25:166" x14ac:dyDescent="0.4">
      <c r="Y132" s="174"/>
      <c r="Z132" s="197"/>
      <c r="AA132" s="197"/>
      <c r="AB132" s="197"/>
      <c r="AC132" s="197"/>
      <c r="AD132" s="197"/>
      <c r="AE132" s="197"/>
      <c r="AF132" s="197"/>
      <c r="AG132" s="197"/>
      <c r="AH132" s="197"/>
      <c r="AI132" s="197"/>
      <c r="AJ132" s="197"/>
      <c r="AK132" s="197"/>
      <c r="AL132" s="197"/>
      <c r="AM132" s="197"/>
      <c r="AN132" s="197"/>
      <c r="AO132" s="197"/>
      <c r="AP132" s="197"/>
      <c r="AQ132" s="197"/>
      <c r="AR132" s="197"/>
      <c r="AS132" s="197"/>
      <c r="AT132" s="197"/>
      <c r="AU132" s="197"/>
      <c r="AV132" s="197"/>
      <c r="AW132" s="197"/>
      <c r="AX132" s="197"/>
      <c r="AY132" s="197"/>
      <c r="AZ132" s="175"/>
      <c r="BC132" s="174"/>
      <c r="BD132" s="197"/>
      <c r="BE132" s="197"/>
      <c r="BF132" s="197"/>
      <c r="BG132" s="197"/>
      <c r="BH132" s="197"/>
      <c r="BI132" s="197"/>
      <c r="BJ132" s="197"/>
      <c r="BK132" s="197"/>
      <c r="BL132" s="197"/>
      <c r="BM132" s="197"/>
      <c r="BN132" s="197"/>
      <c r="BO132" s="197"/>
      <c r="BP132" s="197"/>
      <c r="BQ132" s="197"/>
      <c r="BR132" s="197"/>
      <c r="BS132" s="197"/>
      <c r="BT132" s="197"/>
      <c r="BU132" s="197"/>
      <c r="BV132" s="197"/>
      <c r="BW132" s="197"/>
      <c r="BX132" s="197"/>
      <c r="BY132" s="197"/>
      <c r="BZ132" s="197"/>
      <c r="CA132" s="197"/>
      <c r="CB132" s="197"/>
      <c r="CC132" s="197"/>
      <c r="CD132" s="175"/>
    </row>
    <row r="133" spans="25:166" x14ac:dyDescent="0.4">
      <c r="Y133" s="174"/>
      <c r="Z133" s="197"/>
      <c r="AA133" s="197"/>
      <c r="AB133" s="197"/>
      <c r="AC133" s="197"/>
      <c r="AD133" s="197"/>
      <c r="AE133" s="197"/>
      <c r="AF133" s="197"/>
      <c r="AG133" s="197"/>
      <c r="AH133" s="197"/>
      <c r="AI133" s="197"/>
      <c r="AJ133" s="197"/>
      <c r="AK133" s="197"/>
      <c r="AL133" s="197"/>
      <c r="AM133" s="197"/>
      <c r="AN133" s="197"/>
      <c r="AO133" s="197"/>
      <c r="AP133" s="197"/>
      <c r="AQ133" s="197"/>
      <c r="AR133" s="197"/>
      <c r="AS133" s="197"/>
      <c r="AT133" s="197"/>
      <c r="AU133" s="197"/>
      <c r="AV133" s="197"/>
      <c r="AW133" s="197"/>
      <c r="AX133" s="197"/>
      <c r="AY133" s="197"/>
      <c r="AZ133" s="175"/>
      <c r="BC133" s="174"/>
      <c r="BD133" s="197"/>
      <c r="BE133" s="197"/>
      <c r="BF133" s="197"/>
      <c r="BG133" s="197"/>
      <c r="BH133" s="197"/>
      <c r="BI133" s="197"/>
      <c r="BJ133" s="197"/>
      <c r="BK133" s="197"/>
      <c r="BL133" s="197"/>
      <c r="BM133" s="197"/>
      <c r="BN133" s="197"/>
      <c r="BO133" s="197"/>
      <c r="BP133" s="197"/>
      <c r="BQ133" s="197"/>
      <c r="BR133" s="197"/>
      <c r="BS133" s="197"/>
      <c r="BT133" s="197"/>
      <c r="BU133" s="197"/>
      <c r="BV133" s="197"/>
      <c r="BW133" s="197"/>
      <c r="BX133" s="197"/>
      <c r="BY133" s="197"/>
      <c r="BZ133" s="197"/>
      <c r="CA133" s="197"/>
      <c r="CB133" s="197"/>
      <c r="CC133" s="197"/>
      <c r="CD133" s="175"/>
    </row>
    <row r="134" spans="25:166" x14ac:dyDescent="0.4">
      <c r="Y134" s="174"/>
      <c r="Z134" s="197"/>
      <c r="AA134" s="197"/>
      <c r="AB134" s="197"/>
      <c r="AC134" s="197"/>
      <c r="AD134" s="197"/>
      <c r="AE134" s="197"/>
      <c r="AF134" s="197"/>
      <c r="AG134" s="197"/>
      <c r="AH134" s="197"/>
      <c r="AI134" s="197"/>
      <c r="AJ134" s="197"/>
      <c r="AK134" s="197"/>
      <c r="AL134" s="197"/>
      <c r="AM134" s="197"/>
      <c r="AN134" s="197"/>
      <c r="AO134" s="197"/>
      <c r="AP134" s="197"/>
      <c r="AQ134" s="197"/>
      <c r="AR134" s="197"/>
      <c r="AS134" s="197"/>
      <c r="AT134" s="197"/>
      <c r="AU134" s="197"/>
      <c r="AV134" s="197"/>
      <c r="AW134" s="197"/>
      <c r="AX134" s="197"/>
      <c r="AY134" s="197"/>
      <c r="AZ134" s="175"/>
      <c r="BC134" s="174"/>
      <c r="BD134" s="197"/>
      <c r="BE134" s="197"/>
      <c r="BF134" s="197"/>
      <c r="BG134" s="197"/>
      <c r="BH134" s="197"/>
      <c r="BI134" s="197"/>
      <c r="BJ134" s="197"/>
      <c r="BK134" s="197"/>
      <c r="BL134" s="197"/>
      <c r="BM134" s="197"/>
      <c r="BN134" s="197"/>
      <c r="BO134" s="197"/>
      <c r="BP134" s="197"/>
      <c r="BQ134" s="197"/>
      <c r="BR134" s="197"/>
      <c r="BS134" s="197"/>
      <c r="BT134" s="197"/>
      <c r="BU134" s="197"/>
      <c r="BV134" s="197"/>
      <c r="BW134" s="197"/>
      <c r="BX134" s="197"/>
      <c r="BY134" s="197"/>
      <c r="BZ134" s="197"/>
      <c r="CA134" s="197"/>
      <c r="CB134" s="197"/>
      <c r="CC134" s="197"/>
      <c r="CD134" s="175"/>
    </row>
    <row r="135" spans="25:166" ht="18" thickBot="1" x14ac:dyDescent="0.45">
      <c r="Y135" s="193"/>
      <c r="Z135" s="313"/>
      <c r="AA135" s="313"/>
      <c r="AB135" s="313"/>
      <c r="AC135" s="313"/>
      <c r="AD135" s="313"/>
      <c r="AE135" s="313"/>
      <c r="AF135" s="313"/>
      <c r="AG135" s="313"/>
      <c r="AH135" s="313"/>
      <c r="AI135" s="313"/>
      <c r="AJ135" s="313"/>
      <c r="AK135" s="313"/>
      <c r="AL135" s="313"/>
      <c r="AM135" s="313"/>
      <c r="AN135" s="313"/>
      <c r="AO135" s="313"/>
      <c r="AP135" s="313"/>
      <c r="AQ135" s="313"/>
      <c r="AR135" s="313"/>
      <c r="AS135" s="313"/>
      <c r="AT135" s="313"/>
      <c r="AU135" s="313"/>
      <c r="AV135" s="313"/>
      <c r="AW135" s="313"/>
      <c r="AX135" s="313"/>
      <c r="AY135" s="313"/>
      <c r="AZ135" s="194"/>
      <c r="BC135" s="193"/>
      <c r="BD135" s="313"/>
      <c r="BE135" s="313"/>
      <c r="BF135" s="313"/>
      <c r="BG135" s="313"/>
      <c r="BH135" s="313"/>
      <c r="BI135" s="313"/>
      <c r="BJ135" s="313"/>
      <c r="BK135" s="313"/>
      <c r="BL135" s="313"/>
      <c r="BM135" s="313"/>
      <c r="BN135" s="313"/>
      <c r="BO135" s="313"/>
      <c r="BP135" s="313"/>
      <c r="BQ135" s="313"/>
      <c r="BR135" s="313"/>
      <c r="BS135" s="313"/>
      <c r="BT135" s="313"/>
      <c r="BU135" s="313"/>
      <c r="BV135" s="313"/>
      <c r="BW135" s="313"/>
      <c r="BX135" s="313"/>
      <c r="BY135" s="313"/>
      <c r="BZ135" s="313"/>
      <c r="CA135" s="313"/>
      <c r="CB135" s="313"/>
      <c r="CC135" s="313"/>
      <c r="CD135" s="194"/>
    </row>
    <row r="137" spans="25:166" ht="18" thickBot="1" x14ac:dyDescent="0.45"/>
    <row r="138" spans="25:166" x14ac:dyDescent="0.4">
      <c r="Y138" s="195"/>
      <c r="Z138" s="199"/>
      <c r="AA138" s="199"/>
      <c r="AB138" s="199"/>
      <c r="AC138" s="199"/>
      <c r="AD138" s="199"/>
      <c r="AE138" s="199"/>
      <c r="AF138" s="199"/>
      <c r="AG138" s="199"/>
      <c r="AH138" s="199"/>
      <c r="AI138" s="199"/>
      <c r="AJ138" s="199"/>
      <c r="AK138" s="199"/>
      <c r="AL138" s="199"/>
      <c r="AM138" s="199"/>
      <c r="AN138" s="199"/>
      <c r="AO138" s="199"/>
      <c r="AP138" s="199"/>
      <c r="AQ138" s="199"/>
      <c r="AR138" s="199"/>
      <c r="AS138" s="199"/>
      <c r="AT138" s="199"/>
      <c r="AU138" s="199"/>
      <c r="AV138" s="199"/>
      <c r="AW138" s="199"/>
      <c r="AX138" s="199"/>
      <c r="AY138" s="199"/>
      <c r="AZ138" s="196"/>
      <c r="BC138" s="195"/>
      <c r="BD138" s="199"/>
      <c r="BE138" s="199"/>
      <c r="BF138" s="199"/>
      <c r="BG138" s="199"/>
      <c r="BH138" s="199"/>
      <c r="BI138" s="199"/>
      <c r="BJ138" s="199"/>
      <c r="BK138" s="199"/>
      <c r="BL138" s="199"/>
      <c r="BM138" s="199"/>
      <c r="BN138" s="199"/>
      <c r="BO138" s="199"/>
      <c r="BP138" s="199"/>
      <c r="BQ138" s="199"/>
      <c r="BR138" s="199"/>
      <c r="BS138" s="199"/>
      <c r="BT138" s="199"/>
      <c r="BU138" s="199"/>
      <c r="BV138" s="199"/>
      <c r="BW138" s="199"/>
      <c r="BX138" s="199"/>
      <c r="BY138" s="199"/>
      <c r="BZ138" s="199"/>
      <c r="CA138" s="199"/>
      <c r="CB138" s="199"/>
      <c r="CC138" s="199"/>
      <c r="CD138" s="196"/>
    </row>
    <row r="139" spans="25:166" x14ac:dyDescent="0.4">
      <c r="Y139" s="174"/>
      <c r="Z139" s="197"/>
      <c r="AA139" s="197"/>
      <c r="AB139" s="197"/>
      <c r="AC139" s="197"/>
      <c r="AD139" s="197"/>
      <c r="AE139" s="197"/>
      <c r="AF139" s="197"/>
      <c r="AG139" s="197"/>
      <c r="AH139" s="197"/>
      <c r="AI139" s="197"/>
      <c r="AJ139" s="197"/>
      <c r="AK139" s="197"/>
      <c r="AL139" s="197"/>
      <c r="AM139" s="197"/>
      <c r="AN139" s="197"/>
      <c r="AO139" s="197"/>
      <c r="AP139" s="197"/>
      <c r="AQ139" s="197"/>
      <c r="AR139" s="197"/>
      <c r="AS139" s="197"/>
      <c r="AT139" s="197"/>
      <c r="AU139" s="197"/>
      <c r="AV139" s="197"/>
      <c r="AW139" s="197"/>
      <c r="AX139" s="197"/>
      <c r="AY139" s="197"/>
      <c r="AZ139" s="175"/>
      <c r="BC139" s="174"/>
      <c r="BD139" s="197"/>
      <c r="BE139" s="197"/>
      <c r="BF139" s="197"/>
      <c r="BG139" s="197"/>
      <c r="BH139" s="197"/>
      <c r="BI139" s="197"/>
      <c r="BJ139" s="197"/>
      <c r="BK139" s="197"/>
      <c r="BL139" s="197"/>
      <c r="BM139" s="197"/>
      <c r="BN139" s="197"/>
      <c r="BO139" s="197"/>
      <c r="BP139" s="197"/>
      <c r="BQ139" s="197"/>
      <c r="BR139" s="197"/>
      <c r="BS139" s="197"/>
      <c r="BT139" s="197"/>
      <c r="BU139" s="197"/>
      <c r="BV139" s="197"/>
      <c r="BW139" s="197"/>
      <c r="BX139" s="197"/>
      <c r="BY139" s="197"/>
      <c r="BZ139" s="197"/>
      <c r="CA139" s="197"/>
      <c r="CB139" s="197"/>
      <c r="CC139" s="197"/>
      <c r="CD139" s="175"/>
    </row>
    <row r="140" spans="25:166" ht="18" thickBot="1" x14ac:dyDescent="0.45">
      <c r="Y140" s="174"/>
      <c r="Z140" s="197"/>
      <c r="AA140" s="197"/>
      <c r="AB140" s="197"/>
      <c r="AC140" s="197"/>
      <c r="AD140" s="197"/>
      <c r="AE140" s="197"/>
      <c r="AF140" s="197"/>
      <c r="AG140" s="197"/>
      <c r="AH140" s="197"/>
      <c r="AI140" s="197"/>
      <c r="AJ140" s="197"/>
      <c r="AK140" s="197"/>
      <c r="AL140" s="197"/>
      <c r="AM140" s="197"/>
      <c r="AN140" s="197"/>
      <c r="AO140" s="197"/>
      <c r="AP140" s="197"/>
      <c r="AQ140" s="197"/>
      <c r="AR140" s="197"/>
      <c r="AS140" s="197"/>
      <c r="AT140" s="197"/>
      <c r="AU140" s="197"/>
      <c r="AV140" s="197"/>
      <c r="AW140" s="197"/>
      <c r="AX140" s="197"/>
      <c r="AY140" s="197"/>
      <c r="AZ140" s="175"/>
      <c r="BC140" s="174"/>
      <c r="BD140" s="197"/>
      <c r="BE140" s="197"/>
      <c r="BF140" s="197"/>
      <c r="BG140" s="197"/>
      <c r="BH140" s="197"/>
      <c r="BI140" s="197"/>
      <c r="BJ140" s="197"/>
      <c r="BK140" s="197"/>
      <c r="BL140" s="197"/>
      <c r="BM140" s="197"/>
      <c r="BN140" s="197"/>
      <c r="BO140" s="197"/>
      <c r="BP140" s="197"/>
      <c r="BQ140" s="197"/>
      <c r="BR140" s="197"/>
      <c r="BS140" s="197"/>
      <c r="BT140" s="197"/>
      <c r="BU140" s="197"/>
      <c r="BV140" s="197"/>
      <c r="BW140" s="197"/>
      <c r="BX140" s="197"/>
      <c r="BY140" s="197"/>
      <c r="BZ140" s="197"/>
      <c r="CA140" s="197"/>
      <c r="CB140" s="197"/>
      <c r="CC140" s="197"/>
      <c r="CD140" s="175"/>
    </row>
    <row r="141" spans="25:166" x14ac:dyDescent="0.4">
      <c r="Y141" s="174"/>
      <c r="Z141" s="197"/>
      <c r="AA141" s="197"/>
      <c r="AB141" s="197"/>
      <c r="AC141" s="197"/>
      <c r="AD141" s="197"/>
      <c r="AE141" s="197"/>
      <c r="AF141" s="197"/>
      <c r="AG141" s="197"/>
      <c r="AH141" s="197"/>
      <c r="AI141" s="197"/>
      <c r="AJ141" s="197"/>
      <c r="AK141" s="197"/>
      <c r="AL141" s="197"/>
      <c r="AM141" s="197"/>
      <c r="AN141" s="197"/>
      <c r="AO141" s="197"/>
      <c r="AP141" s="197"/>
      <c r="AQ141" s="197"/>
      <c r="AR141" s="197"/>
      <c r="AS141" s="197"/>
      <c r="AT141" s="197"/>
      <c r="AU141" s="197"/>
      <c r="AV141" s="197"/>
      <c r="AW141" s="197"/>
      <c r="AX141" s="197"/>
      <c r="AY141" s="197"/>
      <c r="AZ141" s="175"/>
      <c r="BC141" s="174"/>
      <c r="BD141" s="197"/>
      <c r="BE141" s="197"/>
      <c r="BF141" s="197"/>
      <c r="BG141" s="197"/>
      <c r="BH141" s="197"/>
      <c r="BI141" s="197"/>
      <c r="BJ141" s="197"/>
      <c r="BK141" s="197"/>
      <c r="BL141" s="197"/>
      <c r="BM141" s="197"/>
      <c r="BN141" s="197"/>
      <c r="BO141" s="197"/>
      <c r="BP141" s="197"/>
      <c r="BQ141" s="197"/>
      <c r="BR141" s="197"/>
      <c r="BS141" s="197"/>
      <c r="BT141" s="197"/>
      <c r="BU141" s="197"/>
      <c r="BV141" s="197"/>
      <c r="BW141" s="197"/>
      <c r="BX141" s="197"/>
      <c r="BY141" s="197"/>
      <c r="BZ141" s="197"/>
      <c r="CA141" s="197"/>
      <c r="CB141" s="197"/>
      <c r="CC141" s="197"/>
      <c r="CD141" s="175"/>
      <c r="DC141" s="195"/>
      <c r="DD141" s="199"/>
      <c r="DE141" s="199"/>
      <c r="DF141" s="199"/>
      <c r="DG141" s="199"/>
      <c r="DH141" s="199"/>
      <c r="DI141" s="199"/>
      <c r="DJ141" s="199"/>
      <c r="DK141" s="199"/>
      <c r="DL141" s="199"/>
      <c r="DM141" s="199"/>
      <c r="DN141" s="199"/>
      <c r="DO141" s="199"/>
      <c r="DP141" s="199"/>
      <c r="DQ141" s="199"/>
      <c r="DR141" s="199"/>
      <c r="DS141" s="199"/>
      <c r="DT141" s="199"/>
      <c r="DU141" s="199"/>
      <c r="DV141" s="199"/>
      <c r="DW141" s="199"/>
      <c r="DX141" s="199"/>
      <c r="DY141" s="199"/>
      <c r="DZ141" s="199"/>
      <c r="EA141" s="199"/>
      <c r="EB141" s="199"/>
      <c r="EC141" s="199"/>
      <c r="ED141" s="196"/>
      <c r="EI141" s="195"/>
      <c r="EJ141" s="199"/>
      <c r="EK141" s="199"/>
      <c r="EL141" s="199"/>
      <c r="EM141" s="199"/>
      <c r="EN141" s="199"/>
      <c r="EO141" s="199"/>
      <c r="EP141" s="199"/>
      <c r="EQ141" s="199"/>
      <c r="ER141" s="199"/>
      <c r="ES141" s="199"/>
      <c r="ET141" s="199"/>
      <c r="EU141" s="199"/>
      <c r="EV141" s="199"/>
      <c r="EW141" s="199"/>
      <c r="EX141" s="199"/>
      <c r="EY141" s="199"/>
      <c r="EZ141" s="199"/>
      <c r="FA141" s="199"/>
      <c r="FB141" s="199"/>
      <c r="FC141" s="199"/>
      <c r="FD141" s="199"/>
      <c r="FE141" s="199"/>
      <c r="FF141" s="199"/>
      <c r="FG141" s="199"/>
      <c r="FH141" s="199"/>
      <c r="FI141" s="199"/>
      <c r="FJ141" s="196"/>
    </row>
    <row r="142" spans="25:166" x14ac:dyDescent="0.4">
      <c r="Y142" s="174"/>
      <c r="Z142" s="197"/>
      <c r="AA142" s="197"/>
      <c r="AB142" s="197"/>
      <c r="AC142" s="197"/>
      <c r="AD142" s="197"/>
      <c r="AE142" s="197"/>
      <c r="AF142" s="197"/>
      <c r="AG142" s="197"/>
      <c r="AH142" s="197"/>
      <c r="AI142" s="197"/>
      <c r="AJ142" s="197"/>
      <c r="AK142" s="197"/>
      <c r="AL142" s="197"/>
      <c r="AM142" s="197"/>
      <c r="AN142" s="197"/>
      <c r="AO142" s="197"/>
      <c r="AP142" s="197"/>
      <c r="AQ142" s="197"/>
      <c r="AR142" s="197"/>
      <c r="AS142" s="197"/>
      <c r="AT142" s="197"/>
      <c r="AU142" s="197"/>
      <c r="AV142" s="197"/>
      <c r="AW142" s="197"/>
      <c r="AX142" s="197"/>
      <c r="AY142" s="197"/>
      <c r="AZ142" s="175"/>
      <c r="BC142" s="174"/>
      <c r="BD142" s="197"/>
      <c r="BE142" s="197"/>
      <c r="BF142" s="197"/>
      <c r="BG142" s="197"/>
      <c r="BH142" s="197"/>
      <c r="BI142" s="197"/>
      <c r="BJ142" s="197"/>
      <c r="BK142" s="197"/>
      <c r="BL142" s="197"/>
      <c r="BM142" s="197"/>
      <c r="BN142" s="197"/>
      <c r="BO142" s="197"/>
      <c r="BP142" s="197"/>
      <c r="BQ142" s="197"/>
      <c r="BR142" s="197"/>
      <c r="BS142" s="197"/>
      <c r="BT142" s="197"/>
      <c r="BU142" s="197"/>
      <c r="BV142" s="197"/>
      <c r="BW142" s="197"/>
      <c r="BX142" s="197"/>
      <c r="BY142" s="197"/>
      <c r="BZ142" s="197"/>
      <c r="CA142" s="197"/>
      <c r="CB142" s="197"/>
      <c r="CC142" s="197"/>
      <c r="CD142" s="175"/>
      <c r="DC142" s="174"/>
      <c r="DD142" s="197"/>
      <c r="DE142" s="197"/>
      <c r="DF142" s="197"/>
      <c r="DG142" s="197"/>
      <c r="DH142" s="197"/>
      <c r="DI142" s="197"/>
      <c r="DJ142" s="197"/>
      <c r="DK142" s="197"/>
      <c r="DL142" s="197"/>
      <c r="DM142" s="197"/>
      <c r="DN142" s="197"/>
      <c r="DO142" s="197"/>
      <c r="DP142" s="197"/>
      <c r="DQ142" s="197"/>
      <c r="DR142" s="197"/>
      <c r="DS142" s="197"/>
      <c r="DT142" s="197"/>
      <c r="DU142" s="197"/>
      <c r="DV142" s="197"/>
      <c r="DW142" s="197"/>
      <c r="DX142" s="197"/>
      <c r="DY142" s="197"/>
      <c r="DZ142" s="197"/>
      <c r="EA142" s="197"/>
      <c r="EB142" s="197"/>
      <c r="EC142" s="197"/>
      <c r="ED142" s="175"/>
      <c r="EI142" s="174"/>
      <c r="EJ142" s="197"/>
      <c r="EK142" s="197"/>
      <c r="EL142" s="197"/>
      <c r="EM142" s="197"/>
      <c r="EN142" s="197"/>
      <c r="EO142" s="197"/>
      <c r="EP142" s="197"/>
      <c r="EQ142" s="197"/>
      <c r="ER142" s="197"/>
      <c r="ES142" s="197"/>
      <c r="ET142" s="197"/>
      <c r="EU142" s="197"/>
      <c r="EV142" s="197"/>
      <c r="EW142" s="197"/>
      <c r="EX142" s="197"/>
      <c r="EY142" s="197"/>
      <c r="EZ142" s="197"/>
      <c r="FA142" s="197"/>
      <c r="FB142" s="197"/>
      <c r="FC142" s="197"/>
      <c r="FD142" s="197"/>
      <c r="FE142" s="197"/>
      <c r="FF142" s="197"/>
      <c r="FG142" s="197"/>
      <c r="FH142" s="197"/>
      <c r="FI142" s="197"/>
      <c r="FJ142" s="175"/>
    </row>
    <row r="143" spans="25:166" x14ac:dyDescent="0.4">
      <c r="Y143" s="174"/>
      <c r="Z143" s="197"/>
      <c r="AA143" s="197"/>
      <c r="AB143" s="197"/>
      <c r="AC143" s="197"/>
      <c r="AD143" s="197"/>
      <c r="AE143" s="197"/>
      <c r="AF143" s="197"/>
      <c r="AG143" s="197"/>
      <c r="AH143" s="197"/>
      <c r="AI143" s="197"/>
      <c r="AJ143" s="197"/>
      <c r="AK143" s="197"/>
      <c r="AL143" s="197"/>
      <c r="AM143" s="197"/>
      <c r="AN143" s="197"/>
      <c r="AO143" s="197"/>
      <c r="AP143" s="197"/>
      <c r="AQ143" s="197"/>
      <c r="AR143" s="197"/>
      <c r="AS143" s="197"/>
      <c r="AT143" s="197"/>
      <c r="AU143" s="197"/>
      <c r="AV143" s="197"/>
      <c r="AW143" s="197"/>
      <c r="AX143" s="197"/>
      <c r="AY143" s="197"/>
      <c r="AZ143" s="175"/>
      <c r="BC143" s="174"/>
      <c r="BD143" s="197"/>
      <c r="BE143" s="197"/>
      <c r="BF143" s="197"/>
      <c r="BG143" s="197"/>
      <c r="BH143" s="197"/>
      <c r="BI143" s="197"/>
      <c r="BJ143" s="197"/>
      <c r="BK143" s="197"/>
      <c r="BL143" s="197"/>
      <c r="BM143" s="197"/>
      <c r="BN143" s="197"/>
      <c r="BO143" s="197"/>
      <c r="BP143" s="197"/>
      <c r="BQ143" s="197"/>
      <c r="BR143" s="197"/>
      <c r="BS143" s="197"/>
      <c r="BT143" s="197"/>
      <c r="BU143" s="197"/>
      <c r="BV143" s="197"/>
      <c r="BW143" s="197"/>
      <c r="BX143" s="197"/>
      <c r="BY143" s="197"/>
      <c r="BZ143" s="197"/>
      <c r="CA143" s="197"/>
      <c r="CB143" s="197"/>
      <c r="CC143" s="197"/>
      <c r="CD143" s="175"/>
      <c r="DC143" s="174"/>
      <c r="DD143" s="197"/>
      <c r="DE143" s="197"/>
      <c r="DF143" s="197"/>
      <c r="DG143" s="197"/>
      <c r="DH143" s="197"/>
      <c r="DI143" s="197"/>
      <c r="DJ143" s="197"/>
      <c r="DK143" s="197"/>
      <c r="DL143" s="197"/>
      <c r="DM143" s="197"/>
      <c r="DN143" s="197"/>
      <c r="DO143" s="197"/>
      <c r="DP143" s="197"/>
      <c r="DQ143" s="197"/>
      <c r="DR143" s="197"/>
      <c r="DS143" s="197"/>
      <c r="DT143" s="197"/>
      <c r="DU143" s="197"/>
      <c r="DV143" s="197"/>
      <c r="DW143" s="197"/>
      <c r="DX143" s="197"/>
      <c r="DY143" s="197"/>
      <c r="DZ143" s="197"/>
      <c r="EA143" s="197"/>
      <c r="EB143" s="197"/>
      <c r="EC143" s="197"/>
      <c r="ED143" s="175"/>
      <c r="EI143" s="174"/>
      <c r="EJ143" s="197"/>
      <c r="EK143" s="197"/>
      <c r="EL143" s="197"/>
      <c r="EM143" s="197"/>
      <c r="EN143" s="197"/>
      <c r="EO143" s="197"/>
      <c r="EP143" s="197"/>
      <c r="EQ143" s="197"/>
      <c r="ER143" s="197"/>
      <c r="ES143" s="197"/>
      <c r="ET143" s="197"/>
      <c r="EU143" s="197"/>
      <c r="EV143" s="197"/>
      <c r="EW143" s="197"/>
      <c r="EX143" s="197"/>
      <c r="EY143" s="197"/>
      <c r="EZ143" s="197"/>
      <c r="FA143" s="197"/>
      <c r="FB143" s="197"/>
      <c r="FC143" s="197"/>
      <c r="FD143" s="197"/>
      <c r="FE143" s="197"/>
      <c r="FF143" s="197"/>
      <c r="FG143" s="197"/>
      <c r="FH143" s="197"/>
      <c r="FI143" s="197"/>
      <c r="FJ143" s="175"/>
    </row>
    <row r="144" spans="25:166" x14ac:dyDescent="0.4">
      <c r="Y144" s="174"/>
      <c r="Z144" s="197"/>
      <c r="AA144" s="197"/>
      <c r="AB144" s="197"/>
      <c r="AC144" s="197"/>
      <c r="AD144" s="197"/>
      <c r="AE144" s="197"/>
      <c r="AF144" s="197"/>
      <c r="AG144" s="197"/>
      <c r="AH144" s="197"/>
      <c r="AI144" s="197"/>
      <c r="AJ144" s="197"/>
      <c r="AK144" s="197"/>
      <c r="AL144" s="197"/>
      <c r="AM144" s="197"/>
      <c r="AN144" s="197"/>
      <c r="AO144" s="197"/>
      <c r="AP144" s="197"/>
      <c r="AQ144" s="197"/>
      <c r="AR144" s="197"/>
      <c r="AS144" s="197"/>
      <c r="AT144" s="197"/>
      <c r="AU144" s="197"/>
      <c r="AV144" s="197"/>
      <c r="AW144" s="197"/>
      <c r="AX144" s="197"/>
      <c r="AY144" s="197"/>
      <c r="AZ144" s="175"/>
      <c r="BC144" s="174"/>
      <c r="BD144" s="197"/>
      <c r="BE144" s="197"/>
      <c r="BF144" s="197"/>
      <c r="BG144" s="197"/>
      <c r="BH144" s="197"/>
      <c r="BI144" s="197"/>
      <c r="BJ144" s="197"/>
      <c r="BK144" s="197"/>
      <c r="BL144" s="197"/>
      <c r="BM144" s="197"/>
      <c r="BN144" s="197"/>
      <c r="BO144" s="197"/>
      <c r="BP144" s="197"/>
      <c r="BQ144" s="197"/>
      <c r="BR144" s="197"/>
      <c r="BS144" s="197"/>
      <c r="BT144" s="197"/>
      <c r="BU144" s="197"/>
      <c r="BV144" s="197"/>
      <c r="BW144" s="197"/>
      <c r="BX144" s="197"/>
      <c r="BY144" s="197"/>
      <c r="BZ144" s="197"/>
      <c r="CA144" s="197"/>
      <c r="CB144" s="197"/>
      <c r="CC144" s="197"/>
      <c r="CD144" s="175"/>
      <c r="DC144" s="174"/>
      <c r="DD144" s="197"/>
      <c r="DE144" s="197"/>
      <c r="DF144" s="197"/>
      <c r="DG144" s="197"/>
      <c r="DH144" s="197"/>
      <c r="DI144" s="197"/>
      <c r="DJ144" s="197"/>
      <c r="DK144" s="197"/>
      <c r="DL144" s="197"/>
      <c r="DM144" s="197"/>
      <c r="DN144" s="197"/>
      <c r="DO144" s="197"/>
      <c r="DP144" s="197"/>
      <c r="DQ144" s="197"/>
      <c r="DR144" s="197"/>
      <c r="DS144" s="197"/>
      <c r="DT144" s="197"/>
      <c r="DU144" s="197"/>
      <c r="DV144" s="197"/>
      <c r="DW144" s="197"/>
      <c r="DX144" s="197"/>
      <c r="DY144" s="197"/>
      <c r="DZ144" s="197"/>
      <c r="EA144" s="197"/>
      <c r="EB144" s="197"/>
      <c r="EC144" s="197"/>
      <c r="ED144" s="175"/>
      <c r="EI144" s="174"/>
      <c r="EJ144" s="197"/>
      <c r="EK144" s="197"/>
      <c r="EL144" s="197"/>
      <c r="EM144" s="197"/>
      <c r="EN144" s="197"/>
      <c r="EO144" s="197"/>
      <c r="EP144" s="197"/>
      <c r="EQ144" s="197"/>
      <c r="ER144" s="197"/>
      <c r="ES144" s="197"/>
      <c r="ET144" s="197"/>
      <c r="EU144" s="197"/>
      <c r="EV144" s="197"/>
      <c r="EW144" s="197"/>
      <c r="EX144" s="197"/>
      <c r="EY144" s="197"/>
      <c r="EZ144" s="197"/>
      <c r="FA144" s="197"/>
      <c r="FB144" s="197"/>
      <c r="FC144" s="197"/>
      <c r="FD144" s="197"/>
      <c r="FE144" s="197"/>
      <c r="FF144" s="197"/>
      <c r="FG144" s="197"/>
      <c r="FH144" s="197"/>
      <c r="FI144" s="197"/>
      <c r="FJ144" s="175"/>
    </row>
    <row r="145" spans="25:166" x14ac:dyDescent="0.4">
      <c r="Y145" s="174"/>
      <c r="Z145" s="197"/>
      <c r="AA145" s="197"/>
      <c r="AB145" s="197"/>
      <c r="AC145" s="197"/>
      <c r="AD145" s="197"/>
      <c r="AE145" s="197"/>
      <c r="AF145" s="197"/>
      <c r="AG145" s="197"/>
      <c r="AH145" s="197"/>
      <c r="AI145" s="197"/>
      <c r="AJ145" s="197"/>
      <c r="AK145" s="197"/>
      <c r="AL145" s="197"/>
      <c r="AM145" s="197"/>
      <c r="AN145" s="197"/>
      <c r="AO145" s="197"/>
      <c r="AP145" s="197"/>
      <c r="AQ145" s="197"/>
      <c r="AR145" s="197"/>
      <c r="AS145" s="197"/>
      <c r="AT145" s="197"/>
      <c r="AU145" s="197"/>
      <c r="AV145" s="197"/>
      <c r="AW145" s="197"/>
      <c r="AX145" s="197"/>
      <c r="AY145" s="197"/>
      <c r="AZ145" s="175"/>
      <c r="BC145" s="174"/>
      <c r="BD145" s="197"/>
      <c r="BE145" s="197"/>
      <c r="BF145" s="197"/>
      <c r="BG145" s="197"/>
      <c r="BH145" s="197"/>
      <c r="BI145" s="197"/>
      <c r="BJ145" s="197"/>
      <c r="BK145" s="197"/>
      <c r="BL145" s="197"/>
      <c r="BM145" s="197"/>
      <c r="BN145" s="197"/>
      <c r="BO145" s="197"/>
      <c r="BP145" s="197"/>
      <c r="BQ145" s="197"/>
      <c r="BR145" s="197"/>
      <c r="BS145" s="197"/>
      <c r="BT145" s="197"/>
      <c r="BU145" s="197"/>
      <c r="BV145" s="197"/>
      <c r="BW145" s="197"/>
      <c r="BX145" s="197"/>
      <c r="BY145" s="197"/>
      <c r="BZ145" s="197"/>
      <c r="CA145" s="197"/>
      <c r="CB145" s="197"/>
      <c r="CC145" s="197"/>
      <c r="CD145" s="175"/>
      <c r="DC145" s="174"/>
      <c r="DD145" s="197"/>
      <c r="DE145" s="197"/>
      <c r="DF145" s="197"/>
      <c r="DG145" s="197"/>
      <c r="DH145" s="197"/>
      <c r="DI145" s="197"/>
      <c r="DJ145" s="197"/>
      <c r="DK145" s="197"/>
      <c r="DL145" s="197"/>
      <c r="DM145" s="197"/>
      <c r="DN145" s="197"/>
      <c r="DO145" s="197"/>
      <c r="DP145" s="197"/>
      <c r="DQ145" s="197"/>
      <c r="DR145" s="197"/>
      <c r="DS145" s="197"/>
      <c r="DT145" s="197"/>
      <c r="DU145" s="197"/>
      <c r="DV145" s="197"/>
      <c r="DW145" s="197"/>
      <c r="DX145" s="197"/>
      <c r="DY145" s="197"/>
      <c r="DZ145" s="197"/>
      <c r="EA145" s="197"/>
      <c r="EB145" s="197"/>
      <c r="EC145" s="197"/>
      <c r="ED145" s="175"/>
      <c r="EI145" s="174"/>
      <c r="EJ145" s="197"/>
      <c r="EK145" s="197"/>
      <c r="EL145" s="197"/>
      <c r="EM145" s="197"/>
      <c r="EN145" s="197"/>
      <c r="EO145" s="197"/>
      <c r="EP145" s="197"/>
      <c r="EQ145" s="197"/>
      <c r="ER145" s="197"/>
      <c r="ES145" s="197"/>
      <c r="ET145" s="197"/>
      <c r="EU145" s="197"/>
      <c r="EV145" s="197"/>
      <c r="EW145" s="197"/>
      <c r="EX145" s="197"/>
      <c r="EY145" s="197"/>
      <c r="EZ145" s="197"/>
      <c r="FA145" s="197"/>
      <c r="FB145" s="197"/>
      <c r="FC145" s="197"/>
      <c r="FD145" s="197"/>
      <c r="FE145" s="197"/>
      <c r="FF145" s="197"/>
      <c r="FG145" s="197"/>
      <c r="FH145" s="197"/>
      <c r="FI145" s="197"/>
      <c r="FJ145" s="175"/>
    </row>
    <row r="146" spans="25:166" x14ac:dyDescent="0.4">
      <c r="Y146" s="174"/>
      <c r="Z146" s="197"/>
      <c r="AA146" s="197"/>
      <c r="AB146" s="197"/>
      <c r="AC146" s="197"/>
      <c r="AD146" s="197"/>
      <c r="AE146" s="197"/>
      <c r="AF146" s="197"/>
      <c r="AG146" s="197"/>
      <c r="AH146" s="197"/>
      <c r="AI146" s="197"/>
      <c r="AJ146" s="197"/>
      <c r="AK146" s="197"/>
      <c r="AL146" s="197"/>
      <c r="AM146" s="197"/>
      <c r="AN146" s="197"/>
      <c r="AO146" s="197"/>
      <c r="AP146" s="197"/>
      <c r="AQ146" s="197"/>
      <c r="AR146" s="197"/>
      <c r="AS146" s="197"/>
      <c r="AT146" s="197"/>
      <c r="AU146" s="197"/>
      <c r="AV146" s="197"/>
      <c r="AW146" s="197"/>
      <c r="AX146" s="197"/>
      <c r="AY146" s="197"/>
      <c r="AZ146" s="175"/>
      <c r="BC146" s="174"/>
      <c r="BD146" s="197"/>
      <c r="BE146" s="197"/>
      <c r="BF146" s="197"/>
      <c r="BG146" s="197"/>
      <c r="BH146" s="197"/>
      <c r="BI146" s="197"/>
      <c r="BJ146" s="197"/>
      <c r="BK146" s="197"/>
      <c r="BL146" s="197"/>
      <c r="BM146" s="197"/>
      <c r="BN146" s="197"/>
      <c r="BO146" s="197"/>
      <c r="BP146" s="197"/>
      <c r="BQ146" s="197"/>
      <c r="BR146" s="197"/>
      <c r="BS146" s="197"/>
      <c r="BT146" s="197"/>
      <c r="BU146" s="197"/>
      <c r="BV146" s="197"/>
      <c r="BW146" s="197"/>
      <c r="BX146" s="197"/>
      <c r="BY146" s="197"/>
      <c r="BZ146" s="197"/>
      <c r="CA146" s="197"/>
      <c r="CB146" s="197"/>
      <c r="CC146" s="197"/>
      <c r="CD146" s="175"/>
      <c r="DC146" s="174"/>
      <c r="DD146" s="197"/>
      <c r="DE146" s="197"/>
      <c r="DF146" s="197"/>
      <c r="DG146" s="197"/>
      <c r="DH146" s="197"/>
      <c r="DI146" s="197"/>
      <c r="DJ146" s="197"/>
      <c r="DK146" s="197"/>
      <c r="DL146" s="197"/>
      <c r="DM146" s="197"/>
      <c r="DN146" s="197"/>
      <c r="DO146" s="197"/>
      <c r="DP146" s="197"/>
      <c r="DQ146" s="197"/>
      <c r="DR146" s="197"/>
      <c r="DS146" s="197"/>
      <c r="DT146" s="197"/>
      <c r="DU146" s="197"/>
      <c r="DV146" s="197"/>
      <c r="DW146" s="197"/>
      <c r="DX146" s="197"/>
      <c r="DY146" s="197"/>
      <c r="DZ146" s="197"/>
      <c r="EA146" s="197"/>
      <c r="EB146" s="197"/>
      <c r="EC146" s="197"/>
      <c r="ED146" s="175"/>
      <c r="EI146" s="174"/>
      <c r="EJ146" s="197"/>
      <c r="EK146" s="197"/>
      <c r="EL146" s="197"/>
      <c r="EM146" s="197"/>
      <c r="EN146" s="197"/>
      <c r="EO146" s="197"/>
      <c r="EP146" s="197"/>
      <c r="EQ146" s="197"/>
      <c r="ER146" s="197"/>
      <c r="ES146" s="197"/>
      <c r="ET146" s="197"/>
      <c r="EU146" s="197"/>
      <c r="EV146" s="197"/>
      <c r="EW146" s="197"/>
      <c r="EX146" s="197"/>
      <c r="EY146" s="197"/>
      <c r="EZ146" s="197"/>
      <c r="FA146" s="197"/>
      <c r="FB146" s="197"/>
      <c r="FC146" s="197"/>
      <c r="FD146" s="197"/>
      <c r="FE146" s="197"/>
      <c r="FF146" s="197"/>
      <c r="FG146" s="197"/>
      <c r="FH146" s="197"/>
      <c r="FI146" s="197"/>
      <c r="FJ146" s="175"/>
    </row>
    <row r="147" spans="25:166" x14ac:dyDescent="0.4">
      <c r="Y147" s="174"/>
      <c r="Z147" s="197"/>
      <c r="AA147" s="197"/>
      <c r="AB147" s="197"/>
      <c r="AC147" s="197"/>
      <c r="AD147" s="197"/>
      <c r="AE147" s="197"/>
      <c r="AF147" s="197"/>
      <c r="AG147" s="197"/>
      <c r="AH147" s="197"/>
      <c r="AI147" s="197"/>
      <c r="AJ147" s="197"/>
      <c r="AK147" s="197"/>
      <c r="AL147" s="197"/>
      <c r="AM147" s="197"/>
      <c r="AN147" s="197"/>
      <c r="AO147" s="197"/>
      <c r="AP147" s="197"/>
      <c r="AQ147" s="197"/>
      <c r="AR147" s="197"/>
      <c r="AS147" s="197"/>
      <c r="AT147" s="197"/>
      <c r="AU147" s="197"/>
      <c r="AV147" s="197"/>
      <c r="AW147" s="197"/>
      <c r="AX147" s="197"/>
      <c r="AY147" s="197"/>
      <c r="AZ147" s="175"/>
      <c r="BC147" s="174"/>
      <c r="BD147" s="197"/>
      <c r="BE147" s="197"/>
      <c r="BF147" s="197"/>
      <c r="BG147" s="197"/>
      <c r="BH147" s="197"/>
      <c r="BI147" s="197"/>
      <c r="BJ147" s="197"/>
      <c r="BK147" s="197"/>
      <c r="BL147" s="197"/>
      <c r="BM147" s="197"/>
      <c r="BN147" s="197"/>
      <c r="BO147" s="197"/>
      <c r="BP147" s="197"/>
      <c r="BQ147" s="197"/>
      <c r="BR147" s="197"/>
      <c r="BS147" s="197"/>
      <c r="BT147" s="197"/>
      <c r="BU147" s="197"/>
      <c r="BV147" s="197"/>
      <c r="BW147" s="197"/>
      <c r="BX147" s="197"/>
      <c r="BY147" s="197"/>
      <c r="BZ147" s="197"/>
      <c r="CA147" s="197"/>
      <c r="CB147" s="197"/>
      <c r="CC147" s="197"/>
      <c r="CD147" s="175"/>
      <c r="DC147" s="174"/>
      <c r="DD147" s="197"/>
      <c r="DE147" s="197"/>
      <c r="DF147" s="197"/>
      <c r="DG147" s="197"/>
      <c r="DH147" s="197"/>
      <c r="DI147" s="197"/>
      <c r="DJ147" s="197"/>
      <c r="DK147" s="197"/>
      <c r="DL147" s="197"/>
      <c r="DM147" s="197"/>
      <c r="DN147" s="197"/>
      <c r="DO147" s="197"/>
      <c r="DP147" s="197"/>
      <c r="DQ147" s="197"/>
      <c r="DR147" s="197"/>
      <c r="DS147" s="197"/>
      <c r="DT147" s="197"/>
      <c r="DU147" s="197"/>
      <c r="DV147" s="197"/>
      <c r="DW147" s="197"/>
      <c r="DX147" s="197"/>
      <c r="DY147" s="197"/>
      <c r="DZ147" s="197"/>
      <c r="EA147" s="197"/>
      <c r="EB147" s="197"/>
      <c r="EC147" s="197"/>
      <c r="ED147" s="175"/>
      <c r="EI147" s="174"/>
      <c r="EJ147" s="197"/>
      <c r="EK147" s="197"/>
      <c r="EL147" s="197"/>
      <c r="EM147" s="197"/>
      <c r="EN147" s="197"/>
      <c r="EO147" s="197"/>
      <c r="EP147" s="197"/>
      <c r="EQ147" s="197"/>
      <c r="ER147" s="197"/>
      <c r="ES147" s="197"/>
      <c r="ET147" s="197"/>
      <c r="EU147" s="197"/>
      <c r="EV147" s="197"/>
      <c r="EW147" s="197"/>
      <c r="EX147" s="197"/>
      <c r="EY147" s="197"/>
      <c r="EZ147" s="197"/>
      <c r="FA147" s="197"/>
      <c r="FB147" s="197"/>
      <c r="FC147" s="197"/>
      <c r="FD147" s="197"/>
      <c r="FE147" s="197"/>
      <c r="FF147" s="197"/>
      <c r="FG147" s="197"/>
      <c r="FH147" s="197"/>
      <c r="FI147" s="197"/>
      <c r="FJ147" s="175"/>
    </row>
    <row r="148" spans="25:166" x14ac:dyDescent="0.4">
      <c r="Y148" s="174"/>
      <c r="Z148" s="197"/>
      <c r="AA148" s="197"/>
      <c r="AB148" s="197"/>
      <c r="AC148" s="197"/>
      <c r="AD148" s="197"/>
      <c r="AE148" s="197"/>
      <c r="AF148" s="197"/>
      <c r="AG148" s="197"/>
      <c r="AH148" s="197"/>
      <c r="AI148" s="197"/>
      <c r="AJ148" s="197"/>
      <c r="AK148" s="197"/>
      <c r="AL148" s="197"/>
      <c r="AM148" s="197"/>
      <c r="AN148" s="197"/>
      <c r="AO148" s="197"/>
      <c r="AP148" s="197"/>
      <c r="AQ148" s="197"/>
      <c r="AR148" s="197"/>
      <c r="AS148" s="197"/>
      <c r="AT148" s="197"/>
      <c r="AU148" s="197"/>
      <c r="AV148" s="197"/>
      <c r="AW148" s="197"/>
      <c r="AX148" s="197"/>
      <c r="AY148" s="197"/>
      <c r="AZ148" s="175"/>
      <c r="BC148" s="174"/>
      <c r="BD148" s="197"/>
      <c r="BE148" s="197"/>
      <c r="BF148" s="197"/>
      <c r="BG148" s="197"/>
      <c r="BH148" s="197"/>
      <c r="BI148" s="197"/>
      <c r="BJ148" s="197"/>
      <c r="BK148" s="197"/>
      <c r="BL148" s="197"/>
      <c r="BM148" s="197"/>
      <c r="BN148" s="197"/>
      <c r="BO148" s="197"/>
      <c r="BP148" s="197"/>
      <c r="BQ148" s="197"/>
      <c r="BR148" s="197"/>
      <c r="BS148" s="197"/>
      <c r="BT148" s="197"/>
      <c r="BU148" s="197"/>
      <c r="BV148" s="197"/>
      <c r="BW148" s="197"/>
      <c r="BX148" s="197"/>
      <c r="BY148" s="197"/>
      <c r="BZ148" s="197"/>
      <c r="CA148" s="197"/>
      <c r="CB148" s="197"/>
      <c r="CC148" s="197"/>
      <c r="CD148" s="175"/>
      <c r="DC148" s="174"/>
      <c r="DD148" s="197"/>
      <c r="DE148" s="197"/>
      <c r="DF148" s="197"/>
      <c r="DG148" s="197"/>
      <c r="DH148" s="197"/>
      <c r="DI148" s="197"/>
      <c r="DJ148" s="197"/>
      <c r="DK148" s="197"/>
      <c r="DL148" s="197"/>
      <c r="DM148" s="197"/>
      <c r="DN148" s="197"/>
      <c r="DO148" s="197"/>
      <c r="DP148" s="197"/>
      <c r="DQ148" s="197"/>
      <c r="DR148" s="197"/>
      <c r="DS148" s="197"/>
      <c r="DT148" s="197"/>
      <c r="DU148" s="197"/>
      <c r="DV148" s="197"/>
      <c r="DW148" s="197"/>
      <c r="DX148" s="197"/>
      <c r="DY148" s="197"/>
      <c r="DZ148" s="197"/>
      <c r="EA148" s="197"/>
      <c r="EB148" s="197"/>
      <c r="EC148" s="197"/>
      <c r="ED148" s="175"/>
      <c r="EI148" s="174"/>
      <c r="EJ148" s="197"/>
      <c r="EK148" s="197"/>
      <c r="EL148" s="197"/>
      <c r="EM148" s="197"/>
      <c r="EN148" s="197"/>
      <c r="EO148" s="197"/>
      <c r="EP148" s="197"/>
      <c r="EQ148" s="197"/>
      <c r="ER148" s="197"/>
      <c r="ES148" s="197"/>
      <c r="ET148" s="197"/>
      <c r="EU148" s="197"/>
      <c r="EV148" s="197"/>
      <c r="EW148" s="197"/>
      <c r="EX148" s="197"/>
      <c r="EY148" s="197"/>
      <c r="EZ148" s="197"/>
      <c r="FA148" s="197"/>
      <c r="FB148" s="197"/>
      <c r="FC148" s="197"/>
      <c r="FD148" s="197"/>
      <c r="FE148" s="197"/>
      <c r="FF148" s="197"/>
      <c r="FG148" s="197"/>
      <c r="FH148" s="197"/>
      <c r="FI148" s="197"/>
      <c r="FJ148" s="175"/>
    </row>
    <row r="149" spans="25:166" x14ac:dyDescent="0.4">
      <c r="Y149" s="174"/>
      <c r="Z149" s="197"/>
      <c r="AA149" s="197"/>
      <c r="AB149" s="197"/>
      <c r="AC149" s="197"/>
      <c r="AD149" s="197"/>
      <c r="AE149" s="197"/>
      <c r="AF149" s="197"/>
      <c r="AG149" s="197"/>
      <c r="AH149" s="197"/>
      <c r="AI149" s="197"/>
      <c r="AJ149" s="197"/>
      <c r="AK149" s="197"/>
      <c r="AL149" s="197"/>
      <c r="AM149" s="197"/>
      <c r="AN149" s="197"/>
      <c r="AO149" s="197"/>
      <c r="AP149" s="197"/>
      <c r="AQ149" s="197"/>
      <c r="AR149" s="197"/>
      <c r="AS149" s="197"/>
      <c r="AT149" s="197"/>
      <c r="AU149" s="197"/>
      <c r="AV149" s="197"/>
      <c r="AW149" s="197"/>
      <c r="AX149" s="197"/>
      <c r="AY149" s="197"/>
      <c r="AZ149" s="175"/>
      <c r="BC149" s="174"/>
      <c r="BD149" s="197"/>
      <c r="BE149" s="197"/>
      <c r="BF149" s="197"/>
      <c r="BG149" s="197"/>
      <c r="BH149" s="197"/>
      <c r="BI149" s="197"/>
      <c r="BJ149" s="197"/>
      <c r="BK149" s="197"/>
      <c r="BL149" s="197"/>
      <c r="BM149" s="197"/>
      <c r="BN149" s="197"/>
      <c r="BO149" s="197"/>
      <c r="BP149" s="197"/>
      <c r="BQ149" s="197"/>
      <c r="BR149" s="197"/>
      <c r="BS149" s="197"/>
      <c r="BT149" s="197"/>
      <c r="BU149" s="197"/>
      <c r="BV149" s="197"/>
      <c r="BW149" s="197"/>
      <c r="BX149" s="197"/>
      <c r="BY149" s="197"/>
      <c r="BZ149" s="197"/>
      <c r="CA149" s="197"/>
      <c r="CB149" s="197"/>
      <c r="CC149" s="197"/>
      <c r="CD149" s="175"/>
      <c r="DC149" s="174"/>
      <c r="DD149" s="197"/>
      <c r="DE149" s="197"/>
      <c r="DF149" s="197"/>
      <c r="DG149" s="197"/>
      <c r="DH149" s="197"/>
      <c r="DI149" s="197"/>
      <c r="DJ149" s="197"/>
      <c r="DK149" s="197"/>
      <c r="DL149" s="197"/>
      <c r="DM149" s="197"/>
      <c r="DN149" s="197"/>
      <c r="DO149" s="197"/>
      <c r="DP149" s="197"/>
      <c r="DQ149" s="197"/>
      <c r="DR149" s="197"/>
      <c r="DS149" s="197"/>
      <c r="DT149" s="197"/>
      <c r="DU149" s="197"/>
      <c r="DV149" s="197"/>
      <c r="DW149" s="197"/>
      <c r="DX149" s="197"/>
      <c r="DY149" s="197"/>
      <c r="DZ149" s="197"/>
      <c r="EA149" s="197"/>
      <c r="EB149" s="197"/>
      <c r="EC149" s="197"/>
      <c r="ED149" s="175"/>
      <c r="EI149" s="174"/>
      <c r="EJ149" s="197"/>
      <c r="EK149" s="197"/>
      <c r="EL149" s="197"/>
      <c r="EM149" s="197"/>
      <c r="EN149" s="197"/>
      <c r="EO149" s="197"/>
      <c r="EP149" s="197"/>
      <c r="EQ149" s="197"/>
      <c r="ER149" s="197"/>
      <c r="ES149" s="197"/>
      <c r="ET149" s="197"/>
      <c r="EU149" s="197"/>
      <c r="EV149" s="197"/>
      <c r="EW149" s="197"/>
      <c r="EX149" s="197"/>
      <c r="EY149" s="197"/>
      <c r="EZ149" s="197"/>
      <c r="FA149" s="197"/>
      <c r="FB149" s="197"/>
      <c r="FC149" s="197"/>
      <c r="FD149" s="197"/>
      <c r="FE149" s="197"/>
      <c r="FF149" s="197"/>
      <c r="FG149" s="197"/>
      <c r="FH149" s="197"/>
      <c r="FI149" s="197"/>
      <c r="FJ149" s="175"/>
    </row>
    <row r="150" spans="25:166" x14ac:dyDescent="0.4">
      <c r="Y150" s="174"/>
      <c r="Z150" s="197"/>
      <c r="AA150" s="197"/>
      <c r="AB150" s="197"/>
      <c r="AC150" s="197"/>
      <c r="AD150" s="197"/>
      <c r="AE150" s="197"/>
      <c r="AF150" s="197"/>
      <c r="AG150" s="197"/>
      <c r="AH150" s="197"/>
      <c r="AI150" s="197"/>
      <c r="AJ150" s="197"/>
      <c r="AK150" s="197"/>
      <c r="AL150" s="197"/>
      <c r="AM150" s="197"/>
      <c r="AN150" s="197"/>
      <c r="AO150" s="197"/>
      <c r="AP150" s="197"/>
      <c r="AQ150" s="197"/>
      <c r="AR150" s="197"/>
      <c r="AS150" s="197"/>
      <c r="AT150" s="197"/>
      <c r="AU150" s="197"/>
      <c r="AV150" s="197"/>
      <c r="AW150" s="197"/>
      <c r="AX150" s="197"/>
      <c r="AY150" s="197"/>
      <c r="AZ150" s="175"/>
      <c r="BC150" s="174"/>
      <c r="BD150" s="197"/>
      <c r="BE150" s="197"/>
      <c r="BF150" s="197"/>
      <c r="BG150" s="197"/>
      <c r="BH150" s="197"/>
      <c r="BI150" s="197"/>
      <c r="BJ150" s="197"/>
      <c r="BK150" s="197"/>
      <c r="BL150" s="197"/>
      <c r="BM150" s="197"/>
      <c r="BN150" s="197"/>
      <c r="BO150" s="197"/>
      <c r="BP150" s="197"/>
      <c r="BQ150" s="197"/>
      <c r="BR150" s="197"/>
      <c r="BS150" s="197"/>
      <c r="BT150" s="197"/>
      <c r="BU150" s="197"/>
      <c r="BV150" s="197"/>
      <c r="BW150" s="197"/>
      <c r="BX150" s="197"/>
      <c r="BY150" s="197"/>
      <c r="BZ150" s="197"/>
      <c r="CA150" s="197"/>
      <c r="CB150" s="197"/>
      <c r="CC150" s="197"/>
      <c r="CD150" s="175"/>
      <c r="DC150" s="174"/>
      <c r="DD150" s="197"/>
      <c r="DE150" s="197"/>
      <c r="DF150" s="197"/>
      <c r="DG150" s="197"/>
      <c r="DH150" s="197"/>
      <c r="DI150" s="197"/>
      <c r="DJ150" s="197"/>
      <c r="DK150" s="197"/>
      <c r="DL150" s="197"/>
      <c r="DM150" s="197"/>
      <c r="DN150" s="197"/>
      <c r="DO150" s="197"/>
      <c r="DP150" s="197"/>
      <c r="DQ150" s="197"/>
      <c r="DR150" s="197"/>
      <c r="DS150" s="197"/>
      <c r="DT150" s="197"/>
      <c r="DU150" s="197"/>
      <c r="DV150" s="197"/>
      <c r="DW150" s="197"/>
      <c r="DX150" s="197"/>
      <c r="DY150" s="197"/>
      <c r="DZ150" s="197"/>
      <c r="EA150" s="197"/>
      <c r="EB150" s="197"/>
      <c r="EC150" s="197"/>
      <c r="ED150" s="175"/>
      <c r="EI150" s="174"/>
      <c r="EJ150" s="197"/>
      <c r="EK150" s="197"/>
      <c r="EL150" s="197"/>
      <c r="EM150" s="197"/>
      <c r="EN150" s="197"/>
      <c r="EO150" s="197"/>
      <c r="EP150" s="197"/>
      <c r="EQ150" s="197"/>
      <c r="ER150" s="197"/>
      <c r="ES150" s="197"/>
      <c r="ET150" s="197"/>
      <c r="EU150" s="197"/>
      <c r="EV150" s="197"/>
      <c r="EW150" s="197"/>
      <c r="EX150" s="197"/>
      <c r="EY150" s="197"/>
      <c r="EZ150" s="197"/>
      <c r="FA150" s="197"/>
      <c r="FB150" s="197"/>
      <c r="FC150" s="197"/>
      <c r="FD150" s="197"/>
      <c r="FE150" s="197"/>
      <c r="FF150" s="197"/>
      <c r="FG150" s="197"/>
      <c r="FH150" s="197"/>
      <c r="FI150" s="197"/>
      <c r="FJ150" s="175"/>
    </row>
    <row r="151" spans="25:166" x14ac:dyDescent="0.4">
      <c r="Y151" s="174"/>
      <c r="Z151" s="197"/>
      <c r="AA151" s="197"/>
      <c r="AB151" s="197"/>
      <c r="AC151" s="197"/>
      <c r="AD151" s="197"/>
      <c r="AE151" s="197"/>
      <c r="AF151" s="197"/>
      <c r="AG151" s="197"/>
      <c r="AH151" s="197"/>
      <c r="AI151" s="197"/>
      <c r="AJ151" s="197"/>
      <c r="AK151" s="197"/>
      <c r="AL151" s="197"/>
      <c r="AM151" s="197"/>
      <c r="AN151" s="197"/>
      <c r="AO151" s="197"/>
      <c r="AP151" s="197"/>
      <c r="AQ151" s="197"/>
      <c r="AR151" s="197"/>
      <c r="AS151" s="197"/>
      <c r="AT151" s="197"/>
      <c r="AU151" s="197"/>
      <c r="AV151" s="197"/>
      <c r="AW151" s="197"/>
      <c r="AX151" s="197"/>
      <c r="AY151" s="197"/>
      <c r="AZ151" s="175"/>
      <c r="BC151" s="174"/>
      <c r="BD151" s="197"/>
      <c r="BE151" s="197"/>
      <c r="BF151" s="197"/>
      <c r="BG151" s="197"/>
      <c r="BH151" s="197"/>
      <c r="BI151" s="197"/>
      <c r="BJ151" s="197"/>
      <c r="BK151" s="197"/>
      <c r="BL151" s="197"/>
      <c r="BM151" s="197"/>
      <c r="BN151" s="197"/>
      <c r="BO151" s="197"/>
      <c r="BP151" s="197"/>
      <c r="BQ151" s="197"/>
      <c r="BR151" s="197"/>
      <c r="BS151" s="197"/>
      <c r="BT151" s="197"/>
      <c r="BU151" s="197"/>
      <c r="BV151" s="197"/>
      <c r="BW151" s="197"/>
      <c r="BX151" s="197"/>
      <c r="BY151" s="197"/>
      <c r="BZ151" s="197"/>
      <c r="CA151" s="197"/>
      <c r="CB151" s="197"/>
      <c r="CC151" s="197"/>
      <c r="CD151" s="175"/>
      <c r="DC151" s="174"/>
      <c r="DD151" s="197"/>
      <c r="DE151" s="197"/>
      <c r="DF151" s="197"/>
      <c r="DG151" s="197"/>
      <c r="DH151" s="197"/>
      <c r="DI151" s="197"/>
      <c r="DJ151" s="197"/>
      <c r="DK151" s="197"/>
      <c r="DL151" s="197"/>
      <c r="DM151" s="197"/>
      <c r="DN151" s="197"/>
      <c r="DO151" s="197"/>
      <c r="DP151" s="197"/>
      <c r="DQ151" s="197"/>
      <c r="DR151" s="197"/>
      <c r="DS151" s="197"/>
      <c r="DT151" s="197"/>
      <c r="DU151" s="197"/>
      <c r="DV151" s="197"/>
      <c r="DW151" s="197"/>
      <c r="DX151" s="197"/>
      <c r="DY151" s="197"/>
      <c r="DZ151" s="197"/>
      <c r="EA151" s="197"/>
      <c r="EB151" s="197"/>
      <c r="EC151" s="197"/>
      <c r="ED151" s="175"/>
      <c r="EI151" s="174"/>
      <c r="EJ151" s="197"/>
      <c r="EK151" s="197"/>
      <c r="EL151" s="197"/>
      <c r="EM151" s="197"/>
      <c r="EN151" s="197"/>
      <c r="EO151" s="197"/>
      <c r="EP151" s="197"/>
      <c r="EQ151" s="197"/>
      <c r="ER151" s="197"/>
      <c r="ES151" s="197"/>
      <c r="ET151" s="197"/>
      <c r="EU151" s="197"/>
      <c r="EV151" s="197"/>
      <c r="EW151" s="197"/>
      <c r="EX151" s="197"/>
      <c r="EY151" s="197"/>
      <c r="EZ151" s="197"/>
      <c r="FA151" s="197"/>
      <c r="FB151" s="197"/>
      <c r="FC151" s="197"/>
      <c r="FD151" s="197"/>
      <c r="FE151" s="197"/>
      <c r="FF151" s="197"/>
      <c r="FG151" s="197"/>
      <c r="FH151" s="197"/>
      <c r="FI151" s="197"/>
      <c r="FJ151" s="175"/>
    </row>
    <row r="152" spans="25:166" x14ac:dyDescent="0.4">
      <c r="Y152" s="174"/>
      <c r="Z152" s="197"/>
      <c r="AA152" s="197"/>
      <c r="AB152" s="197"/>
      <c r="AC152" s="197"/>
      <c r="AD152" s="197"/>
      <c r="AE152" s="197"/>
      <c r="AF152" s="197"/>
      <c r="AG152" s="197"/>
      <c r="AH152" s="197"/>
      <c r="AI152" s="197"/>
      <c r="AJ152" s="197"/>
      <c r="AK152" s="197"/>
      <c r="AL152" s="197"/>
      <c r="AM152" s="197"/>
      <c r="AN152" s="197"/>
      <c r="AO152" s="197"/>
      <c r="AP152" s="197"/>
      <c r="AQ152" s="197"/>
      <c r="AR152" s="197"/>
      <c r="AS152" s="197"/>
      <c r="AT152" s="197"/>
      <c r="AU152" s="197"/>
      <c r="AV152" s="197"/>
      <c r="AW152" s="197"/>
      <c r="AX152" s="197"/>
      <c r="AY152" s="197"/>
      <c r="AZ152" s="175"/>
      <c r="BC152" s="174"/>
      <c r="BD152" s="197"/>
      <c r="BE152" s="197"/>
      <c r="BF152" s="197"/>
      <c r="BG152" s="197"/>
      <c r="BH152" s="197"/>
      <c r="BI152" s="197"/>
      <c r="BJ152" s="197"/>
      <c r="BK152" s="197"/>
      <c r="BL152" s="197"/>
      <c r="BM152" s="197"/>
      <c r="BN152" s="197"/>
      <c r="BO152" s="197"/>
      <c r="BP152" s="197"/>
      <c r="BQ152" s="197"/>
      <c r="BR152" s="197"/>
      <c r="BS152" s="197"/>
      <c r="BT152" s="197"/>
      <c r="BU152" s="197"/>
      <c r="BV152" s="197"/>
      <c r="BW152" s="197"/>
      <c r="BX152" s="197"/>
      <c r="BY152" s="197"/>
      <c r="BZ152" s="197"/>
      <c r="CA152" s="197"/>
      <c r="CB152" s="197"/>
      <c r="CC152" s="197"/>
      <c r="CD152" s="175"/>
      <c r="DC152" s="174"/>
      <c r="DD152" s="197"/>
      <c r="DE152" s="197"/>
      <c r="DF152" s="197"/>
      <c r="DG152" s="197"/>
      <c r="DH152" s="197"/>
      <c r="DI152" s="197"/>
      <c r="DJ152" s="197"/>
      <c r="DK152" s="197"/>
      <c r="DL152" s="197"/>
      <c r="DM152" s="197"/>
      <c r="DN152" s="197"/>
      <c r="DO152" s="197"/>
      <c r="DP152" s="197"/>
      <c r="DQ152" s="197"/>
      <c r="DR152" s="197"/>
      <c r="DS152" s="197"/>
      <c r="DT152" s="197"/>
      <c r="DU152" s="197"/>
      <c r="DV152" s="197"/>
      <c r="DW152" s="197"/>
      <c r="DX152" s="197"/>
      <c r="DY152" s="197"/>
      <c r="DZ152" s="197"/>
      <c r="EA152" s="197"/>
      <c r="EB152" s="197"/>
      <c r="EC152" s="197"/>
      <c r="ED152" s="175"/>
      <c r="EI152" s="174"/>
      <c r="EJ152" s="197"/>
      <c r="EK152" s="197"/>
      <c r="EL152" s="197"/>
      <c r="EM152" s="197"/>
      <c r="EN152" s="197"/>
      <c r="EO152" s="197"/>
      <c r="EP152" s="197"/>
      <c r="EQ152" s="197"/>
      <c r="ER152" s="197"/>
      <c r="ES152" s="197"/>
      <c r="ET152" s="197"/>
      <c r="EU152" s="197"/>
      <c r="EV152" s="197"/>
      <c r="EW152" s="197"/>
      <c r="EX152" s="197"/>
      <c r="EY152" s="197"/>
      <c r="EZ152" s="197"/>
      <c r="FA152" s="197"/>
      <c r="FB152" s="197"/>
      <c r="FC152" s="197"/>
      <c r="FD152" s="197"/>
      <c r="FE152" s="197"/>
      <c r="FF152" s="197"/>
      <c r="FG152" s="197"/>
      <c r="FH152" s="197"/>
      <c r="FI152" s="197"/>
      <c r="FJ152" s="175"/>
    </row>
    <row r="153" spans="25:166" x14ac:dyDescent="0.4">
      <c r="Y153" s="174"/>
      <c r="Z153" s="197"/>
      <c r="AA153" s="197"/>
      <c r="AB153" s="197"/>
      <c r="AC153" s="197"/>
      <c r="AD153" s="197"/>
      <c r="AE153" s="197"/>
      <c r="AF153" s="197"/>
      <c r="AG153" s="197"/>
      <c r="AH153" s="197"/>
      <c r="AI153" s="197"/>
      <c r="AJ153" s="197"/>
      <c r="AK153" s="197"/>
      <c r="AL153" s="197"/>
      <c r="AM153" s="197"/>
      <c r="AN153" s="197"/>
      <c r="AO153" s="197"/>
      <c r="AP153" s="197"/>
      <c r="AQ153" s="197"/>
      <c r="AR153" s="197"/>
      <c r="AS153" s="197"/>
      <c r="AT153" s="197"/>
      <c r="AU153" s="197"/>
      <c r="AV153" s="197"/>
      <c r="AW153" s="197"/>
      <c r="AX153" s="197"/>
      <c r="AY153" s="197"/>
      <c r="AZ153" s="175"/>
      <c r="BC153" s="174"/>
      <c r="BD153" s="197"/>
      <c r="BE153" s="197"/>
      <c r="BF153" s="197"/>
      <c r="BG153" s="197"/>
      <c r="BH153" s="197"/>
      <c r="BI153" s="197"/>
      <c r="BJ153" s="197"/>
      <c r="BK153" s="197"/>
      <c r="BL153" s="197"/>
      <c r="BM153" s="197"/>
      <c r="BN153" s="197"/>
      <c r="BO153" s="197"/>
      <c r="BP153" s="197"/>
      <c r="BQ153" s="197"/>
      <c r="BR153" s="197"/>
      <c r="BS153" s="197"/>
      <c r="BT153" s="197"/>
      <c r="BU153" s="197"/>
      <c r="BV153" s="197"/>
      <c r="BW153" s="197"/>
      <c r="BX153" s="197"/>
      <c r="BY153" s="197"/>
      <c r="BZ153" s="197"/>
      <c r="CA153" s="197"/>
      <c r="CB153" s="197"/>
      <c r="CC153" s="197"/>
      <c r="CD153" s="175"/>
      <c r="DC153" s="174"/>
      <c r="DD153" s="197"/>
      <c r="DE153" s="197"/>
      <c r="DF153" s="197"/>
      <c r="DG153" s="197"/>
      <c r="DH153" s="197"/>
      <c r="DI153" s="197"/>
      <c r="DJ153" s="197"/>
      <c r="DK153" s="197"/>
      <c r="DL153" s="197"/>
      <c r="DM153" s="197"/>
      <c r="DN153" s="197"/>
      <c r="DO153" s="197"/>
      <c r="DP153" s="197"/>
      <c r="DQ153" s="197"/>
      <c r="DR153" s="197"/>
      <c r="DS153" s="197"/>
      <c r="DT153" s="197"/>
      <c r="DU153" s="197"/>
      <c r="DV153" s="197"/>
      <c r="DW153" s="197"/>
      <c r="DX153" s="197"/>
      <c r="DY153" s="197"/>
      <c r="DZ153" s="197"/>
      <c r="EA153" s="197"/>
      <c r="EB153" s="197"/>
      <c r="EC153" s="197"/>
      <c r="ED153" s="175"/>
      <c r="EI153" s="174"/>
      <c r="EJ153" s="197"/>
      <c r="EK153" s="197"/>
      <c r="EL153" s="197"/>
      <c r="EM153" s="197"/>
      <c r="EN153" s="197"/>
      <c r="EO153" s="197"/>
      <c r="EP153" s="197"/>
      <c r="EQ153" s="197"/>
      <c r="ER153" s="197"/>
      <c r="ES153" s="197"/>
      <c r="ET153" s="197"/>
      <c r="EU153" s="197"/>
      <c r="EV153" s="197"/>
      <c r="EW153" s="197"/>
      <c r="EX153" s="197"/>
      <c r="EY153" s="197"/>
      <c r="EZ153" s="197"/>
      <c r="FA153" s="197"/>
      <c r="FB153" s="197"/>
      <c r="FC153" s="197"/>
      <c r="FD153" s="197"/>
      <c r="FE153" s="197"/>
      <c r="FF153" s="197"/>
      <c r="FG153" s="197"/>
      <c r="FH153" s="197"/>
      <c r="FI153" s="197"/>
      <c r="FJ153" s="175"/>
    </row>
    <row r="154" spans="25:166" x14ac:dyDescent="0.4">
      <c r="Y154" s="174"/>
      <c r="Z154" s="197"/>
      <c r="AA154" s="197"/>
      <c r="AB154" s="197"/>
      <c r="AC154" s="197"/>
      <c r="AD154" s="197"/>
      <c r="AE154" s="197"/>
      <c r="AF154" s="197"/>
      <c r="AG154" s="197"/>
      <c r="AH154" s="197"/>
      <c r="AI154" s="197"/>
      <c r="AJ154" s="197"/>
      <c r="AK154" s="197"/>
      <c r="AL154" s="197"/>
      <c r="AM154" s="197"/>
      <c r="AN154" s="197"/>
      <c r="AO154" s="197"/>
      <c r="AP154" s="197"/>
      <c r="AQ154" s="197"/>
      <c r="AR154" s="197"/>
      <c r="AS154" s="197"/>
      <c r="AT154" s="197"/>
      <c r="AU154" s="197"/>
      <c r="AV154" s="197"/>
      <c r="AW154" s="197"/>
      <c r="AX154" s="197"/>
      <c r="AY154" s="197"/>
      <c r="AZ154" s="175"/>
      <c r="BC154" s="174"/>
      <c r="BD154" s="197"/>
      <c r="BE154" s="197"/>
      <c r="BF154" s="197"/>
      <c r="BG154" s="197"/>
      <c r="BH154" s="197"/>
      <c r="BI154" s="197"/>
      <c r="BJ154" s="197"/>
      <c r="BK154" s="197"/>
      <c r="BL154" s="197"/>
      <c r="BM154" s="197"/>
      <c r="BN154" s="197"/>
      <c r="BO154" s="197"/>
      <c r="BP154" s="197"/>
      <c r="BQ154" s="197"/>
      <c r="BR154" s="197"/>
      <c r="BS154" s="197"/>
      <c r="BT154" s="197"/>
      <c r="BU154" s="197"/>
      <c r="BV154" s="197"/>
      <c r="BW154" s="197"/>
      <c r="BX154" s="197"/>
      <c r="BY154" s="197"/>
      <c r="BZ154" s="197"/>
      <c r="CA154" s="197"/>
      <c r="CB154" s="197"/>
      <c r="CC154" s="197"/>
      <c r="CD154" s="175"/>
      <c r="DC154" s="174"/>
      <c r="DD154" s="197"/>
      <c r="DE154" s="197"/>
      <c r="DF154" s="197"/>
      <c r="DG154" s="197"/>
      <c r="DH154" s="197"/>
      <c r="DI154" s="197"/>
      <c r="DJ154" s="197"/>
      <c r="DK154" s="197"/>
      <c r="DL154" s="197"/>
      <c r="DM154" s="197"/>
      <c r="DN154" s="197"/>
      <c r="DO154" s="197"/>
      <c r="DP154" s="197"/>
      <c r="DQ154" s="197"/>
      <c r="DR154" s="197"/>
      <c r="DS154" s="197"/>
      <c r="DT154" s="197"/>
      <c r="DU154" s="197"/>
      <c r="DV154" s="197"/>
      <c r="DW154" s="197"/>
      <c r="DX154" s="197"/>
      <c r="DY154" s="197"/>
      <c r="DZ154" s="197"/>
      <c r="EA154" s="197"/>
      <c r="EB154" s="197"/>
      <c r="EC154" s="197"/>
      <c r="ED154" s="175"/>
      <c r="EI154" s="174"/>
      <c r="EJ154" s="197"/>
      <c r="EK154" s="197"/>
      <c r="EL154" s="197"/>
      <c r="EM154" s="197"/>
      <c r="EN154" s="197"/>
      <c r="EO154" s="197"/>
      <c r="EP154" s="197"/>
      <c r="EQ154" s="197"/>
      <c r="ER154" s="197"/>
      <c r="ES154" s="197"/>
      <c r="ET154" s="197"/>
      <c r="EU154" s="197"/>
      <c r="EV154" s="197"/>
      <c r="EW154" s="197"/>
      <c r="EX154" s="197"/>
      <c r="EY154" s="197"/>
      <c r="EZ154" s="197"/>
      <c r="FA154" s="197"/>
      <c r="FB154" s="197"/>
      <c r="FC154" s="197"/>
      <c r="FD154" s="197"/>
      <c r="FE154" s="197"/>
      <c r="FF154" s="197"/>
      <c r="FG154" s="197"/>
      <c r="FH154" s="197"/>
      <c r="FI154" s="197"/>
      <c r="FJ154" s="175"/>
    </row>
    <row r="155" spans="25:166" x14ac:dyDescent="0.4">
      <c r="Y155" s="174"/>
      <c r="Z155" s="197"/>
      <c r="AA155" s="197"/>
      <c r="AB155" s="197"/>
      <c r="AC155" s="197"/>
      <c r="AD155" s="197"/>
      <c r="AE155" s="197"/>
      <c r="AF155" s="197"/>
      <c r="AG155" s="197"/>
      <c r="AH155" s="197"/>
      <c r="AI155" s="197"/>
      <c r="AJ155" s="197"/>
      <c r="AK155" s="197"/>
      <c r="AL155" s="197"/>
      <c r="AM155" s="197"/>
      <c r="AN155" s="197"/>
      <c r="AO155" s="197"/>
      <c r="AP155" s="197"/>
      <c r="AQ155" s="197"/>
      <c r="AR155" s="197"/>
      <c r="AS155" s="197"/>
      <c r="AT155" s="197"/>
      <c r="AU155" s="197"/>
      <c r="AV155" s="197"/>
      <c r="AW155" s="197"/>
      <c r="AX155" s="197"/>
      <c r="AY155" s="197"/>
      <c r="AZ155" s="175"/>
      <c r="BC155" s="174"/>
      <c r="BD155" s="197"/>
      <c r="BE155" s="197"/>
      <c r="BF155" s="197"/>
      <c r="BG155" s="197"/>
      <c r="BH155" s="197"/>
      <c r="BI155" s="197"/>
      <c r="BJ155" s="197"/>
      <c r="BK155" s="197"/>
      <c r="BL155" s="197"/>
      <c r="BM155" s="197"/>
      <c r="BN155" s="197"/>
      <c r="BO155" s="197"/>
      <c r="BP155" s="197"/>
      <c r="BQ155" s="197"/>
      <c r="BR155" s="197"/>
      <c r="BS155" s="197"/>
      <c r="BT155" s="197"/>
      <c r="BU155" s="197"/>
      <c r="BV155" s="197"/>
      <c r="BW155" s="197"/>
      <c r="BX155" s="197"/>
      <c r="BY155" s="197"/>
      <c r="BZ155" s="197"/>
      <c r="CA155" s="197"/>
      <c r="CB155" s="197"/>
      <c r="CC155" s="197"/>
      <c r="CD155" s="175"/>
      <c r="DC155" s="174"/>
      <c r="DD155" s="197"/>
      <c r="DE155" s="197"/>
      <c r="DF155" s="197"/>
      <c r="DG155" s="197"/>
      <c r="DH155" s="197"/>
      <c r="DI155" s="197"/>
      <c r="DJ155" s="197"/>
      <c r="DK155" s="197"/>
      <c r="DL155" s="197"/>
      <c r="DM155" s="197"/>
      <c r="DN155" s="197"/>
      <c r="DO155" s="197"/>
      <c r="DP155" s="197"/>
      <c r="DQ155" s="197"/>
      <c r="DR155" s="197"/>
      <c r="DS155" s="197"/>
      <c r="DT155" s="197"/>
      <c r="DU155" s="197"/>
      <c r="DV155" s="197"/>
      <c r="DW155" s="197"/>
      <c r="DX155" s="197"/>
      <c r="DY155" s="197"/>
      <c r="DZ155" s="197"/>
      <c r="EA155" s="197"/>
      <c r="EB155" s="197"/>
      <c r="EC155" s="197"/>
      <c r="ED155" s="175"/>
      <c r="EI155" s="174"/>
      <c r="EJ155" s="197"/>
      <c r="EK155" s="197"/>
      <c r="EL155" s="197"/>
      <c r="EM155" s="197"/>
      <c r="EN155" s="197"/>
      <c r="EO155" s="197"/>
      <c r="EP155" s="197"/>
      <c r="EQ155" s="197"/>
      <c r="ER155" s="197"/>
      <c r="ES155" s="197"/>
      <c r="ET155" s="197"/>
      <c r="EU155" s="197"/>
      <c r="EV155" s="197"/>
      <c r="EW155" s="197"/>
      <c r="EX155" s="197"/>
      <c r="EY155" s="197"/>
      <c r="EZ155" s="197"/>
      <c r="FA155" s="197"/>
      <c r="FB155" s="197"/>
      <c r="FC155" s="197"/>
      <c r="FD155" s="197"/>
      <c r="FE155" s="197"/>
      <c r="FF155" s="197"/>
      <c r="FG155" s="197"/>
      <c r="FH155" s="197"/>
      <c r="FI155" s="197"/>
      <c r="FJ155" s="175"/>
    </row>
    <row r="156" spans="25:166" x14ac:dyDescent="0.4">
      <c r="Y156" s="174"/>
      <c r="Z156" s="197"/>
      <c r="AA156" s="197"/>
      <c r="AB156" s="197"/>
      <c r="AC156" s="197"/>
      <c r="AD156" s="197"/>
      <c r="AE156" s="197"/>
      <c r="AF156" s="197"/>
      <c r="AG156" s="197"/>
      <c r="AH156" s="197"/>
      <c r="AI156" s="197"/>
      <c r="AJ156" s="197"/>
      <c r="AK156" s="197"/>
      <c r="AL156" s="197"/>
      <c r="AM156" s="197"/>
      <c r="AN156" s="197"/>
      <c r="AO156" s="197"/>
      <c r="AP156" s="197"/>
      <c r="AQ156" s="197"/>
      <c r="AR156" s="197"/>
      <c r="AS156" s="197"/>
      <c r="AT156" s="197"/>
      <c r="AU156" s="197"/>
      <c r="AV156" s="197"/>
      <c r="AW156" s="197"/>
      <c r="AX156" s="197"/>
      <c r="AY156" s="197"/>
      <c r="AZ156" s="175"/>
      <c r="BC156" s="174"/>
      <c r="BD156" s="197"/>
      <c r="BE156" s="197"/>
      <c r="BF156" s="197"/>
      <c r="BG156" s="197"/>
      <c r="BH156" s="197"/>
      <c r="BI156" s="197"/>
      <c r="BJ156" s="197"/>
      <c r="BK156" s="197"/>
      <c r="BL156" s="197"/>
      <c r="BM156" s="197"/>
      <c r="BN156" s="197"/>
      <c r="BO156" s="197"/>
      <c r="BP156" s="197"/>
      <c r="BQ156" s="197"/>
      <c r="BR156" s="197"/>
      <c r="BS156" s="197"/>
      <c r="BT156" s="197"/>
      <c r="BU156" s="197"/>
      <c r="BV156" s="197"/>
      <c r="BW156" s="197"/>
      <c r="BX156" s="197"/>
      <c r="BY156" s="197"/>
      <c r="BZ156" s="197"/>
      <c r="CA156" s="197"/>
      <c r="CB156" s="197"/>
      <c r="CC156" s="197"/>
      <c r="CD156" s="175"/>
      <c r="DC156" s="174"/>
      <c r="DD156" s="197"/>
      <c r="DE156" s="197"/>
      <c r="DF156" s="197"/>
      <c r="DG156" s="197"/>
      <c r="DH156" s="197"/>
      <c r="DI156" s="197"/>
      <c r="DJ156" s="197"/>
      <c r="DK156" s="197"/>
      <c r="DL156" s="197"/>
      <c r="DM156" s="197"/>
      <c r="DN156" s="197"/>
      <c r="DO156" s="197"/>
      <c r="DP156" s="197"/>
      <c r="DQ156" s="197"/>
      <c r="DR156" s="197"/>
      <c r="DS156" s="197"/>
      <c r="DT156" s="197"/>
      <c r="DU156" s="197"/>
      <c r="DV156" s="197"/>
      <c r="DW156" s="197"/>
      <c r="DX156" s="197"/>
      <c r="DY156" s="197"/>
      <c r="DZ156" s="197"/>
      <c r="EA156" s="197"/>
      <c r="EB156" s="197"/>
      <c r="EC156" s="197"/>
      <c r="ED156" s="175"/>
      <c r="EI156" s="174"/>
      <c r="EJ156" s="197"/>
      <c r="EK156" s="197"/>
      <c r="EL156" s="197"/>
      <c r="EM156" s="197"/>
      <c r="EN156" s="197"/>
      <c r="EO156" s="197"/>
      <c r="EP156" s="197"/>
      <c r="EQ156" s="197"/>
      <c r="ER156" s="197"/>
      <c r="ES156" s="197"/>
      <c r="ET156" s="197"/>
      <c r="EU156" s="197"/>
      <c r="EV156" s="197"/>
      <c r="EW156" s="197"/>
      <c r="EX156" s="197"/>
      <c r="EY156" s="197"/>
      <c r="EZ156" s="197"/>
      <c r="FA156" s="197"/>
      <c r="FB156" s="197"/>
      <c r="FC156" s="197"/>
      <c r="FD156" s="197"/>
      <c r="FE156" s="197"/>
      <c r="FF156" s="197"/>
      <c r="FG156" s="197"/>
      <c r="FH156" s="197"/>
      <c r="FI156" s="197"/>
      <c r="FJ156" s="175"/>
    </row>
    <row r="157" spans="25:166" x14ac:dyDescent="0.4">
      <c r="Y157" s="174"/>
      <c r="Z157" s="197"/>
      <c r="AA157" s="197"/>
      <c r="AB157" s="197"/>
      <c r="AC157" s="197"/>
      <c r="AD157" s="197"/>
      <c r="AE157" s="197"/>
      <c r="AF157" s="197"/>
      <c r="AG157" s="197"/>
      <c r="AH157" s="197"/>
      <c r="AI157" s="197"/>
      <c r="AJ157" s="197"/>
      <c r="AK157" s="197"/>
      <c r="AL157" s="197"/>
      <c r="AM157" s="197"/>
      <c r="AN157" s="197"/>
      <c r="AO157" s="197"/>
      <c r="AP157" s="197"/>
      <c r="AQ157" s="197"/>
      <c r="AR157" s="197"/>
      <c r="AS157" s="197"/>
      <c r="AT157" s="197"/>
      <c r="AU157" s="197"/>
      <c r="AV157" s="197"/>
      <c r="AW157" s="197"/>
      <c r="AX157" s="197"/>
      <c r="AY157" s="197"/>
      <c r="AZ157" s="175"/>
      <c r="BC157" s="174"/>
      <c r="BD157" s="197"/>
      <c r="BE157" s="197"/>
      <c r="BF157" s="197"/>
      <c r="BG157" s="197"/>
      <c r="BH157" s="197"/>
      <c r="BI157" s="197"/>
      <c r="BJ157" s="197"/>
      <c r="BK157" s="197"/>
      <c r="BL157" s="197"/>
      <c r="BM157" s="197"/>
      <c r="BN157" s="197"/>
      <c r="BO157" s="197"/>
      <c r="BP157" s="197"/>
      <c r="BQ157" s="197"/>
      <c r="BR157" s="197"/>
      <c r="BS157" s="197"/>
      <c r="BT157" s="197"/>
      <c r="BU157" s="197"/>
      <c r="BV157" s="197"/>
      <c r="BW157" s="197"/>
      <c r="BX157" s="197"/>
      <c r="BY157" s="197"/>
      <c r="BZ157" s="197"/>
      <c r="CA157" s="197"/>
      <c r="CB157" s="197"/>
      <c r="CC157" s="197"/>
      <c r="CD157" s="175"/>
      <c r="DC157" s="174"/>
      <c r="DD157" s="197"/>
      <c r="DE157" s="197"/>
      <c r="DF157" s="197"/>
      <c r="DG157" s="197"/>
      <c r="DH157" s="197"/>
      <c r="DI157" s="197"/>
      <c r="DJ157" s="197"/>
      <c r="DK157" s="197"/>
      <c r="DL157" s="197"/>
      <c r="DM157" s="197"/>
      <c r="DN157" s="197"/>
      <c r="DO157" s="197"/>
      <c r="DP157" s="197"/>
      <c r="DQ157" s="197"/>
      <c r="DR157" s="197"/>
      <c r="DS157" s="197"/>
      <c r="DT157" s="197"/>
      <c r="DU157" s="197"/>
      <c r="DV157" s="197"/>
      <c r="DW157" s="197"/>
      <c r="DX157" s="197"/>
      <c r="DY157" s="197"/>
      <c r="DZ157" s="197"/>
      <c r="EA157" s="197"/>
      <c r="EB157" s="197"/>
      <c r="EC157" s="197"/>
      <c r="ED157" s="175"/>
      <c r="EI157" s="174"/>
      <c r="EJ157" s="197"/>
      <c r="EK157" s="197"/>
      <c r="EL157" s="197"/>
      <c r="EM157" s="197"/>
      <c r="EN157" s="197"/>
      <c r="EO157" s="197"/>
      <c r="EP157" s="197"/>
      <c r="EQ157" s="197"/>
      <c r="ER157" s="197"/>
      <c r="ES157" s="197"/>
      <c r="ET157" s="197"/>
      <c r="EU157" s="197"/>
      <c r="EV157" s="197"/>
      <c r="EW157" s="197"/>
      <c r="EX157" s="197"/>
      <c r="EY157" s="197"/>
      <c r="EZ157" s="197"/>
      <c r="FA157" s="197"/>
      <c r="FB157" s="197"/>
      <c r="FC157" s="197"/>
      <c r="FD157" s="197"/>
      <c r="FE157" s="197"/>
      <c r="FF157" s="197"/>
      <c r="FG157" s="197"/>
      <c r="FH157" s="197"/>
      <c r="FI157" s="197"/>
      <c r="FJ157" s="175"/>
    </row>
    <row r="158" spans="25:166" x14ac:dyDescent="0.4">
      <c r="Y158" s="174"/>
      <c r="Z158" s="197"/>
      <c r="AA158" s="197"/>
      <c r="AB158" s="197"/>
      <c r="AC158" s="197"/>
      <c r="AD158" s="197"/>
      <c r="AE158" s="197"/>
      <c r="AF158" s="197"/>
      <c r="AG158" s="197"/>
      <c r="AH158" s="197"/>
      <c r="AI158" s="197"/>
      <c r="AJ158" s="197"/>
      <c r="AK158" s="197"/>
      <c r="AL158" s="197"/>
      <c r="AM158" s="197"/>
      <c r="AN158" s="197"/>
      <c r="AO158" s="197"/>
      <c r="AP158" s="197"/>
      <c r="AQ158" s="197"/>
      <c r="AR158" s="197"/>
      <c r="AS158" s="197"/>
      <c r="AT158" s="197"/>
      <c r="AU158" s="197"/>
      <c r="AV158" s="197"/>
      <c r="AW158" s="197"/>
      <c r="AX158" s="197"/>
      <c r="AY158" s="197"/>
      <c r="AZ158" s="175"/>
      <c r="BC158" s="174"/>
      <c r="BD158" s="197"/>
      <c r="BE158" s="197"/>
      <c r="BF158" s="197"/>
      <c r="BG158" s="197"/>
      <c r="BH158" s="197"/>
      <c r="BI158" s="197"/>
      <c r="BJ158" s="197"/>
      <c r="BK158" s="197"/>
      <c r="BL158" s="197"/>
      <c r="BM158" s="197"/>
      <c r="BN158" s="197"/>
      <c r="BO158" s="197"/>
      <c r="BP158" s="197"/>
      <c r="BQ158" s="197"/>
      <c r="BR158" s="197"/>
      <c r="BS158" s="197"/>
      <c r="BT158" s="197"/>
      <c r="BU158" s="197"/>
      <c r="BV158" s="197"/>
      <c r="BW158" s="197"/>
      <c r="BX158" s="197"/>
      <c r="BY158" s="197"/>
      <c r="BZ158" s="197"/>
      <c r="CA158" s="197"/>
      <c r="CB158" s="197"/>
      <c r="CC158" s="197"/>
      <c r="CD158" s="175"/>
      <c r="DC158" s="174"/>
      <c r="DD158" s="197"/>
      <c r="DE158" s="197"/>
      <c r="DF158" s="197"/>
      <c r="DG158" s="197"/>
      <c r="DH158" s="197"/>
      <c r="DI158" s="197"/>
      <c r="DJ158" s="197"/>
      <c r="DK158" s="197"/>
      <c r="DL158" s="197"/>
      <c r="DM158" s="197"/>
      <c r="DN158" s="197"/>
      <c r="DO158" s="197"/>
      <c r="DP158" s="197"/>
      <c r="DQ158" s="197"/>
      <c r="DR158" s="197"/>
      <c r="DS158" s="197"/>
      <c r="DT158" s="197"/>
      <c r="DU158" s="197"/>
      <c r="DV158" s="197"/>
      <c r="DW158" s="197"/>
      <c r="DX158" s="197"/>
      <c r="DY158" s="197"/>
      <c r="DZ158" s="197"/>
      <c r="EA158" s="197"/>
      <c r="EB158" s="197"/>
      <c r="EC158" s="197"/>
      <c r="ED158" s="175"/>
      <c r="EI158" s="174"/>
      <c r="EJ158" s="197"/>
      <c r="EK158" s="197"/>
      <c r="EL158" s="197"/>
      <c r="EM158" s="197"/>
      <c r="EN158" s="197"/>
      <c r="EO158" s="197"/>
      <c r="EP158" s="197"/>
      <c r="EQ158" s="197"/>
      <c r="ER158" s="197"/>
      <c r="ES158" s="197"/>
      <c r="ET158" s="197"/>
      <c r="EU158" s="197"/>
      <c r="EV158" s="197"/>
      <c r="EW158" s="197"/>
      <c r="EX158" s="197"/>
      <c r="EY158" s="197"/>
      <c r="EZ158" s="197"/>
      <c r="FA158" s="197"/>
      <c r="FB158" s="197"/>
      <c r="FC158" s="197"/>
      <c r="FD158" s="197"/>
      <c r="FE158" s="197"/>
      <c r="FF158" s="197"/>
      <c r="FG158" s="197"/>
      <c r="FH158" s="197"/>
      <c r="FI158" s="197"/>
      <c r="FJ158" s="175"/>
    </row>
    <row r="159" spans="25:166" ht="18" thickBot="1" x14ac:dyDescent="0.45">
      <c r="Y159" s="193"/>
      <c r="Z159" s="313"/>
      <c r="AA159" s="313"/>
      <c r="AB159" s="313"/>
      <c r="AC159" s="313"/>
      <c r="AD159" s="313"/>
      <c r="AE159" s="313"/>
      <c r="AF159" s="313"/>
      <c r="AG159" s="313"/>
      <c r="AH159" s="313"/>
      <c r="AI159" s="313"/>
      <c r="AJ159" s="313"/>
      <c r="AK159" s="313"/>
      <c r="AL159" s="313"/>
      <c r="AM159" s="313"/>
      <c r="AN159" s="313"/>
      <c r="AO159" s="313"/>
      <c r="AP159" s="313"/>
      <c r="AQ159" s="313"/>
      <c r="AR159" s="313"/>
      <c r="AS159" s="313"/>
      <c r="AT159" s="313"/>
      <c r="AU159" s="313"/>
      <c r="AV159" s="313"/>
      <c r="AW159" s="313"/>
      <c r="AX159" s="313"/>
      <c r="AY159" s="313"/>
      <c r="AZ159" s="194"/>
      <c r="BC159" s="193"/>
      <c r="BD159" s="313"/>
      <c r="BE159" s="313"/>
      <c r="BF159" s="313"/>
      <c r="BG159" s="313"/>
      <c r="BH159" s="313"/>
      <c r="BI159" s="313"/>
      <c r="BJ159" s="313"/>
      <c r="BK159" s="313"/>
      <c r="BL159" s="313"/>
      <c r="BM159" s="313"/>
      <c r="BN159" s="313"/>
      <c r="BO159" s="313"/>
      <c r="BP159" s="313"/>
      <c r="BQ159" s="313"/>
      <c r="BR159" s="313"/>
      <c r="BS159" s="313"/>
      <c r="BT159" s="313"/>
      <c r="BU159" s="313"/>
      <c r="BV159" s="313"/>
      <c r="BW159" s="313"/>
      <c r="BX159" s="313"/>
      <c r="BY159" s="313"/>
      <c r="BZ159" s="313"/>
      <c r="CA159" s="313"/>
      <c r="CB159" s="313"/>
      <c r="CC159" s="313"/>
      <c r="CD159" s="194"/>
      <c r="DC159" s="174"/>
      <c r="DD159" s="197"/>
      <c r="DE159" s="197"/>
      <c r="DF159" s="197"/>
      <c r="DG159" s="197"/>
      <c r="DH159" s="197"/>
      <c r="DI159" s="197"/>
      <c r="DJ159" s="197"/>
      <c r="DK159" s="197"/>
      <c r="DL159" s="197"/>
      <c r="DM159" s="197"/>
      <c r="DN159" s="197"/>
      <c r="DO159" s="197"/>
      <c r="DP159" s="197"/>
      <c r="DQ159" s="197"/>
      <c r="DR159" s="197"/>
      <c r="DS159" s="197"/>
      <c r="DT159" s="197"/>
      <c r="DU159" s="197"/>
      <c r="DV159" s="197"/>
      <c r="DW159" s="197"/>
      <c r="DX159" s="197"/>
      <c r="DY159" s="197"/>
      <c r="DZ159" s="197"/>
      <c r="EA159" s="197"/>
      <c r="EB159" s="197"/>
      <c r="EC159" s="197"/>
      <c r="ED159" s="175"/>
      <c r="EI159" s="174"/>
      <c r="EJ159" s="197"/>
      <c r="EK159" s="197"/>
      <c r="EL159" s="197"/>
      <c r="EM159" s="197"/>
      <c r="EN159" s="197"/>
      <c r="EO159" s="197"/>
      <c r="EP159" s="197"/>
      <c r="EQ159" s="197"/>
      <c r="ER159" s="197"/>
      <c r="ES159" s="197"/>
      <c r="ET159" s="197"/>
      <c r="EU159" s="197"/>
      <c r="EV159" s="197"/>
      <c r="EW159" s="197"/>
      <c r="EX159" s="197"/>
      <c r="EY159" s="197"/>
      <c r="EZ159" s="197"/>
      <c r="FA159" s="197"/>
      <c r="FB159" s="197"/>
      <c r="FC159" s="197"/>
      <c r="FD159" s="197"/>
      <c r="FE159" s="197"/>
      <c r="FF159" s="197"/>
      <c r="FG159" s="197"/>
      <c r="FH159" s="197"/>
      <c r="FI159" s="197"/>
      <c r="FJ159" s="175"/>
    </row>
    <row r="160" spans="25:166" x14ac:dyDescent="0.4">
      <c r="DC160" s="174"/>
      <c r="DD160" s="197"/>
      <c r="DE160" s="197"/>
      <c r="DF160" s="197"/>
      <c r="DG160" s="197"/>
      <c r="DH160" s="197"/>
      <c r="DI160" s="197"/>
      <c r="DJ160" s="197"/>
      <c r="DK160" s="197"/>
      <c r="DL160" s="197"/>
      <c r="DM160" s="197"/>
      <c r="DN160" s="197"/>
      <c r="DO160" s="197"/>
      <c r="DP160" s="197"/>
      <c r="DQ160" s="197"/>
      <c r="DR160" s="197"/>
      <c r="DS160" s="197"/>
      <c r="DT160" s="197"/>
      <c r="DU160" s="197"/>
      <c r="DV160" s="197"/>
      <c r="DW160" s="197"/>
      <c r="DX160" s="197"/>
      <c r="DY160" s="197"/>
      <c r="DZ160" s="197"/>
      <c r="EA160" s="197"/>
      <c r="EB160" s="197"/>
      <c r="EC160" s="197"/>
      <c r="ED160" s="175"/>
      <c r="EI160" s="174"/>
      <c r="EJ160" s="197"/>
      <c r="EK160" s="197"/>
      <c r="EL160" s="197"/>
      <c r="EM160" s="197"/>
      <c r="EN160" s="197"/>
      <c r="EO160" s="197"/>
      <c r="EP160" s="197"/>
      <c r="EQ160" s="197"/>
      <c r="ER160" s="197"/>
      <c r="ES160" s="197"/>
      <c r="ET160" s="197"/>
      <c r="EU160" s="197"/>
      <c r="EV160" s="197"/>
      <c r="EW160" s="197"/>
      <c r="EX160" s="197"/>
      <c r="EY160" s="197"/>
      <c r="EZ160" s="197"/>
      <c r="FA160" s="197"/>
      <c r="FB160" s="197"/>
      <c r="FC160" s="197"/>
      <c r="FD160" s="197"/>
      <c r="FE160" s="197"/>
      <c r="FF160" s="197"/>
      <c r="FG160" s="197"/>
      <c r="FH160" s="197"/>
      <c r="FI160" s="197"/>
      <c r="FJ160" s="175"/>
    </row>
    <row r="161" spans="25:166" ht="18" thickBot="1" x14ac:dyDescent="0.45">
      <c r="DC161" s="174"/>
      <c r="DD161" s="197"/>
      <c r="DE161" s="197"/>
      <c r="DF161" s="197"/>
      <c r="DG161" s="197"/>
      <c r="DH161" s="197"/>
      <c r="DI161" s="197"/>
      <c r="DJ161" s="197"/>
      <c r="DK161" s="197"/>
      <c r="DL161" s="197"/>
      <c r="DM161" s="197"/>
      <c r="DN161" s="197"/>
      <c r="DO161" s="197"/>
      <c r="DP161" s="197"/>
      <c r="DQ161" s="197"/>
      <c r="DR161" s="197"/>
      <c r="DS161" s="197"/>
      <c r="DT161" s="197"/>
      <c r="DU161" s="197"/>
      <c r="DV161" s="197"/>
      <c r="DW161" s="197"/>
      <c r="DX161" s="197"/>
      <c r="DY161" s="197"/>
      <c r="DZ161" s="197"/>
      <c r="EA161" s="197"/>
      <c r="EB161" s="197"/>
      <c r="EC161" s="197"/>
      <c r="ED161" s="175"/>
      <c r="EI161" s="174"/>
      <c r="EJ161" s="197"/>
      <c r="EK161" s="197"/>
      <c r="EL161" s="197"/>
      <c r="EM161" s="197"/>
      <c r="EN161" s="197"/>
      <c r="EO161" s="197"/>
      <c r="EP161" s="197"/>
      <c r="EQ161" s="197"/>
      <c r="ER161" s="197"/>
      <c r="ES161" s="197"/>
      <c r="ET161" s="197"/>
      <c r="EU161" s="197"/>
      <c r="EV161" s="197"/>
      <c r="EW161" s="197"/>
      <c r="EX161" s="197"/>
      <c r="EY161" s="197"/>
      <c r="EZ161" s="197"/>
      <c r="FA161" s="197"/>
      <c r="FB161" s="197"/>
      <c r="FC161" s="197"/>
      <c r="FD161" s="197"/>
      <c r="FE161" s="197"/>
      <c r="FF161" s="197"/>
      <c r="FG161" s="197"/>
      <c r="FH161" s="197"/>
      <c r="FI161" s="197"/>
      <c r="FJ161" s="175"/>
    </row>
    <row r="162" spans="25:166" ht="18" thickBot="1" x14ac:dyDescent="0.45">
      <c r="Y162" s="195"/>
      <c r="Z162" s="199"/>
      <c r="AA162" s="199"/>
      <c r="AB162" s="199"/>
      <c r="AC162" s="199"/>
      <c r="AD162" s="199"/>
      <c r="AE162" s="199"/>
      <c r="AF162" s="199"/>
      <c r="AG162" s="199"/>
      <c r="AH162" s="199"/>
      <c r="AI162" s="199"/>
      <c r="AJ162" s="199"/>
      <c r="AK162" s="199"/>
      <c r="AL162" s="199"/>
      <c r="AM162" s="199"/>
      <c r="AN162" s="199"/>
      <c r="AO162" s="199"/>
      <c r="AP162" s="199"/>
      <c r="AQ162" s="199"/>
      <c r="AR162" s="199"/>
      <c r="AS162" s="199"/>
      <c r="AT162" s="199"/>
      <c r="AU162" s="199"/>
      <c r="AV162" s="199"/>
      <c r="AW162" s="199"/>
      <c r="AX162" s="199"/>
      <c r="AY162" s="199"/>
      <c r="AZ162" s="196"/>
      <c r="BC162" s="195"/>
      <c r="BD162" s="199"/>
      <c r="BE162" s="199"/>
      <c r="BF162" s="199"/>
      <c r="BG162" s="199"/>
      <c r="BH162" s="199"/>
      <c r="BI162" s="199"/>
      <c r="BJ162" s="199"/>
      <c r="BK162" s="199"/>
      <c r="BL162" s="199"/>
      <c r="BM162" s="199"/>
      <c r="BN162" s="199"/>
      <c r="BO162" s="199"/>
      <c r="BP162" s="199"/>
      <c r="BQ162" s="199"/>
      <c r="BR162" s="199"/>
      <c r="BS162" s="199"/>
      <c r="BT162" s="199"/>
      <c r="BU162" s="199"/>
      <c r="BV162" s="199"/>
      <c r="BW162" s="199"/>
      <c r="BX162" s="199"/>
      <c r="BY162" s="199"/>
      <c r="BZ162" s="199"/>
      <c r="CA162" s="199"/>
      <c r="CB162" s="199"/>
      <c r="CC162" s="199"/>
      <c r="CD162" s="196"/>
      <c r="DC162" s="193"/>
      <c r="DD162" s="313"/>
      <c r="DE162" s="313"/>
      <c r="DF162" s="313"/>
      <c r="DG162" s="313"/>
      <c r="DH162" s="313"/>
      <c r="DI162" s="313"/>
      <c r="DJ162" s="313"/>
      <c r="DK162" s="313"/>
      <c r="DL162" s="313"/>
      <c r="DM162" s="313"/>
      <c r="DN162" s="313"/>
      <c r="DO162" s="313"/>
      <c r="DP162" s="313"/>
      <c r="DQ162" s="313"/>
      <c r="DR162" s="313"/>
      <c r="DS162" s="313"/>
      <c r="DT162" s="313"/>
      <c r="DU162" s="313"/>
      <c r="DV162" s="313"/>
      <c r="DW162" s="313"/>
      <c r="DX162" s="313"/>
      <c r="DY162" s="313"/>
      <c r="DZ162" s="313"/>
      <c r="EA162" s="313"/>
      <c r="EB162" s="313"/>
      <c r="EC162" s="313"/>
      <c r="ED162" s="194"/>
      <c r="EI162" s="193"/>
      <c r="EJ162" s="313"/>
      <c r="EK162" s="313"/>
      <c r="EL162" s="313"/>
      <c r="EM162" s="313"/>
      <c r="EN162" s="313"/>
      <c r="EO162" s="313"/>
      <c r="EP162" s="313"/>
      <c r="EQ162" s="313"/>
      <c r="ER162" s="313"/>
      <c r="ES162" s="313"/>
      <c r="ET162" s="313"/>
      <c r="EU162" s="313"/>
      <c r="EV162" s="313"/>
      <c r="EW162" s="313"/>
      <c r="EX162" s="313"/>
      <c r="EY162" s="313"/>
      <c r="EZ162" s="313"/>
      <c r="FA162" s="313"/>
      <c r="FB162" s="313"/>
      <c r="FC162" s="313"/>
      <c r="FD162" s="313"/>
      <c r="FE162" s="313"/>
      <c r="FF162" s="313"/>
      <c r="FG162" s="313"/>
      <c r="FH162" s="313"/>
      <c r="FI162" s="313"/>
      <c r="FJ162" s="194"/>
    </row>
    <row r="163" spans="25:166" x14ac:dyDescent="0.4">
      <c r="Y163" s="174"/>
      <c r="Z163" s="197"/>
      <c r="AA163" s="197"/>
      <c r="AB163" s="197"/>
      <c r="AC163" s="197"/>
      <c r="AD163" s="197"/>
      <c r="AE163" s="197"/>
      <c r="AF163" s="197"/>
      <c r="AG163" s="197"/>
      <c r="AH163" s="197"/>
      <c r="AI163" s="197"/>
      <c r="AJ163" s="197"/>
      <c r="AK163" s="197"/>
      <c r="AL163" s="197"/>
      <c r="AM163" s="197"/>
      <c r="AN163" s="197"/>
      <c r="AO163" s="197"/>
      <c r="AP163" s="197"/>
      <c r="AQ163" s="197"/>
      <c r="AR163" s="197"/>
      <c r="AS163" s="197"/>
      <c r="AT163" s="197"/>
      <c r="AU163" s="197"/>
      <c r="AV163" s="197"/>
      <c r="AW163" s="197"/>
      <c r="AX163" s="197"/>
      <c r="AY163" s="197"/>
      <c r="AZ163" s="175"/>
      <c r="BC163" s="174"/>
      <c r="BD163" s="197"/>
      <c r="BE163" s="197"/>
      <c r="BF163" s="197"/>
      <c r="BG163" s="197"/>
      <c r="BH163" s="197"/>
      <c r="BI163" s="197"/>
      <c r="BJ163" s="197"/>
      <c r="BK163" s="197"/>
      <c r="BL163" s="197"/>
      <c r="BM163" s="197"/>
      <c r="BN163" s="197"/>
      <c r="BO163" s="197"/>
      <c r="BP163" s="197"/>
      <c r="BQ163" s="197"/>
      <c r="BR163" s="197"/>
      <c r="BS163" s="197"/>
      <c r="BT163" s="197"/>
      <c r="BU163" s="197"/>
      <c r="BV163" s="197"/>
      <c r="BW163" s="197"/>
      <c r="BX163" s="197"/>
      <c r="BY163" s="197"/>
      <c r="BZ163" s="197"/>
      <c r="CA163" s="197"/>
      <c r="CB163" s="197"/>
      <c r="CC163" s="197"/>
      <c r="CD163" s="175"/>
    </row>
    <row r="164" spans="25:166" x14ac:dyDescent="0.4">
      <c r="Y164" s="174"/>
      <c r="Z164" s="197"/>
      <c r="AA164" s="197"/>
      <c r="AB164" s="197"/>
      <c r="AC164" s="197"/>
      <c r="AD164" s="197"/>
      <c r="AE164" s="197"/>
      <c r="AF164" s="197"/>
      <c r="AG164" s="197"/>
      <c r="AH164" s="197"/>
      <c r="AI164" s="197"/>
      <c r="AJ164" s="197"/>
      <c r="AK164" s="197"/>
      <c r="AL164" s="197"/>
      <c r="AM164" s="197"/>
      <c r="AN164" s="197"/>
      <c r="AO164" s="197"/>
      <c r="AP164" s="197"/>
      <c r="AQ164" s="197"/>
      <c r="AR164" s="197"/>
      <c r="AS164" s="197"/>
      <c r="AT164" s="197"/>
      <c r="AU164" s="197"/>
      <c r="AV164" s="197"/>
      <c r="AW164" s="197"/>
      <c r="AX164" s="197"/>
      <c r="AY164" s="197"/>
      <c r="AZ164" s="175"/>
      <c r="BC164" s="174"/>
      <c r="BD164" s="197"/>
      <c r="BE164" s="197"/>
      <c r="BF164" s="197"/>
      <c r="BG164" s="197"/>
      <c r="BH164" s="197"/>
      <c r="BI164" s="197"/>
      <c r="BJ164" s="197"/>
      <c r="BK164" s="197"/>
      <c r="BL164" s="197"/>
      <c r="BM164" s="197"/>
      <c r="BN164" s="197"/>
      <c r="BO164" s="197"/>
      <c r="BP164" s="197"/>
      <c r="BQ164" s="197"/>
      <c r="BR164" s="197"/>
      <c r="BS164" s="197"/>
      <c r="BT164" s="197"/>
      <c r="BU164" s="197"/>
      <c r="BV164" s="197"/>
      <c r="BW164" s="197"/>
      <c r="BX164" s="197"/>
      <c r="BY164" s="197"/>
      <c r="BZ164" s="197"/>
      <c r="CA164" s="197"/>
      <c r="CB164" s="197"/>
      <c r="CC164" s="197"/>
      <c r="CD164" s="175"/>
    </row>
    <row r="165" spans="25:166" x14ac:dyDescent="0.4">
      <c r="Y165" s="174"/>
      <c r="Z165" s="197"/>
      <c r="AA165" s="197"/>
      <c r="AB165" s="197"/>
      <c r="AC165" s="197"/>
      <c r="AD165" s="197"/>
      <c r="AE165" s="197"/>
      <c r="AF165" s="197"/>
      <c r="AG165" s="197"/>
      <c r="AH165" s="197"/>
      <c r="AI165" s="197"/>
      <c r="AJ165" s="197"/>
      <c r="AK165" s="197"/>
      <c r="AL165" s="197"/>
      <c r="AM165" s="197"/>
      <c r="AN165" s="197"/>
      <c r="AO165" s="197"/>
      <c r="AP165" s="197"/>
      <c r="AQ165" s="197"/>
      <c r="AR165" s="197"/>
      <c r="AS165" s="197"/>
      <c r="AT165" s="197"/>
      <c r="AU165" s="197"/>
      <c r="AV165" s="197"/>
      <c r="AW165" s="197"/>
      <c r="AX165" s="197"/>
      <c r="AY165" s="197"/>
      <c r="AZ165" s="175"/>
      <c r="BC165" s="174"/>
      <c r="BD165" s="197"/>
      <c r="BE165" s="197"/>
      <c r="BF165" s="197"/>
      <c r="BG165" s="197"/>
      <c r="BH165" s="197"/>
      <c r="BI165" s="197"/>
      <c r="BJ165" s="197"/>
      <c r="BK165" s="197"/>
      <c r="BL165" s="197"/>
      <c r="BM165" s="197"/>
      <c r="BN165" s="197"/>
      <c r="BO165" s="197"/>
      <c r="BP165" s="197"/>
      <c r="BQ165" s="197"/>
      <c r="BR165" s="197"/>
      <c r="BS165" s="197"/>
      <c r="BT165" s="197"/>
      <c r="BU165" s="197"/>
      <c r="BV165" s="197"/>
      <c r="BW165" s="197"/>
      <c r="BX165" s="197"/>
      <c r="BY165" s="197"/>
      <c r="BZ165" s="197"/>
      <c r="CA165" s="197"/>
      <c r="CB165" s="197"/>
      <c r="CC165" s="197"/>
      <c r="CD165" s="175"/>
    </row>
    <row r="166" spans="25:166" x14ac:dyDescent="0.4">
      <c r="Y166" s="174"/>
      <c r="Z166" s="197"/>
      <c r="AA166" s="197"/>
      <c r="AB166" s="197"/>
      <c r="AC166" s="197"/>
      <c r="AD166" s="197"/>
      <c r="AE166" s="197"/>
      <c r="AF166" s="197"/>
      <c r="AG166" s="197"/>
      <c r="AH166" s="197"/>
      <c r="AI166" s="197"/>
      <c r="AJ166" s="197"/>
      <c r="AK166" s="197"/>
      <c r="AL166" s="197"/>
      <c r="AM166" s="197"/>
      <c r="AN166" s="197"/>
      <c r="AO166" s="197"/>
      <c r="AP166" s="197"/>
      <c r="AQ166" s="197"/>
      <c r="AR166" s="197"/>
      <c r="AS166" s="197"/>
      <c r="AT166" s="197"/>
      <c r="AU166" s="197"/>
      <c r="AV166" s="197"/>
      <c r="AW166" s="197"/>
      <c r="AX166" s="197"/>
      <c r="AY166" s="197"/>
      <c r="AZ166" s="175"/>
      <c r="BC166" s="174"/>
      <c r="BD166" s="197"/>
      <c r="BE166" s="197"/>
      <c r="BF166" s="197"/>
      <c r="BG166" s="197"/>
      <c r="BH166" s="197"/>
      <c r="BI166" s="197"/>
      <c r="BJ166" s="197"/>
      <c r="BK166" s="197"/>
      <c r="BL166" s="197"/>
      <c r="BM166" s="197"/>
      <c r="BN166" s="197"/>
      <c r="BO166" s="197"/>
      <c r="BP166" s="197"/>
      <c r="BQ166" s="197"/>
      <c r="BR166" s="197"/>
      <c r="BS166" s="197"/>
      <c r="BT166" s="197"/>
      <c r="BU166" s="197"/>
      <c r="BV166" s="197"/>
      <c r="BW166" s="197"/>
      <c r="BX166" s="197"/>
      <c r="BY166" s="197"/>
      <c r="BZ166" s="197"/>
      <c r="CA166" s="197"/>
      <c r="CB166" s="197"/>
      <c r="CC166" s="197"/>
      <c r="CD166" s="175"/>
    </row>
    <row r="167" spans="25:166" x14ac:dyDescent="0.4">
      <c r="Y167" s="174"/>
      <c r="Z167" s="197"/>
      <c r="AA167" s="197"/>
      <c r="AB167" s="197"/>
      <c r="AC167" s="197"/>
      <c r="AD167" s="197"/>
      <c r="AE167" s="197"/>
      <c r="AF167" s="197"/>
      <c r="AG167" s="197"/>
      <c r="AH167" s="197"/>
      <c r="AI167" s="197"/>
      <c r="AJ167" s="197"/>
      <c r="AK167" s="197"/>
      <c r="AL167" s="197"/>
      <c r="AM167" s="197"/>
      <c r="AN167" s="197"/>
      <c r="AO167" s="197"/>
      <c r="AP167" s="197"/>
      <c r="AQ167" s="197"/>
      <c r="AR167" s="197"/>
      <c r="AS167" s="197"/>
      <c r="AT167" s="197"/>
      <c r="AU167" s="197"/>
      <c r="AV167" s="197"/>
      <c r="AW167" s="197"/>
      <c r="AX167" s="197"/>
      <c r="AY167" s="197"/>
      <c r="AZ167" s="175"/>
      <c r="BC167" s="174"/>
      <c r="BD167" s="197"/>
      <c r="BE167" s="197"/>
      <c r="BF167" s="197"/>
      <c r="BG167" s="197"/>
      <c r="BH167" s="197"/>
      <c r="BI167" s="197"/>
      <c r="BJ167" s="197"/>
      <c r="BK167" s="197"/>
      <c r="BL167" s="197"/>
      <c r="BM167" s="197"/>
      <c r="BN167" s="197"/>
      <c r="BO167" s="197"/>
      <c r="BP167" s="197"/>
      <c r="BQ167" s="197"/>
      <c r="BR167" s="197"/>
      <c r="BS167" s="197"/>
      <c r="BT167" s="197"/>
      <c r="BU167" s="197"/>
      <c r="BV167" s="197"/>
      <c r="BW167" s="197"/>
      <c r="BX167" s="197"/>
      <c r="BY167" s="197"/>
      <c r="BZ167" s="197"/>
      <c r="CA167" s="197"/>
      <c r="CB167" s="197"/>
      <c r="CC167" s="197"/>
      <c r="CD167" s="175"/>
    </row>
    <row r="168" spans="25:166" x14ac:dyDescent="0.4">
      <c r="Y168" s="174"/>
      <c r="Z168" s="197"/>
      <c r="AA168" s="197"/>
      <c r="AB168" s="197"/>
      <c r="AC168" s="197"/>
      <c r="AD168" s="197"/>
      <c r="AE168" s="197"/>
      <c r="AF168" s="197"/>
      <c r="AG168" s="197"/>
      <c r="AH168" s="197"/>
      <c r="AI168" s="197"/>
      <c r="AJ168" s="197"/>
      <c r="AK168" s="197"/>
      <c r="AL168" s="197"/>
      <c r="AM168" s="197"/>
      <c r="AN168" s="197"/>
      <c r="AO168" s="197"/>
      <c r="AP168" s="197"/>
      <c r="AQ168" s="197"/>
      <c r="AR168" s="197"/>
      <c r="AS168" s="197"/>
      <c r="AT168" s="197"/>
      <c r="AU168" s="197"/>
      <c r="AV168" s="197"/>
      <c r="AW168" s="197"/>
      <c r="AX168" s="197"/>
      <c r="AY168" s="197"/>
      <c r="AZ168" s="175"/>
      <c r="BC168" s="174"/>
      <c r="BD168" s="197"/>
      <c r="BE168" s="197"/>
      <c r="BF168" s="197"/>
      <c r="BG168" s="197"/>
      <c r="BH168" s="197"/>
      <c r="BI168" s="197"/>
      <c r="BJ168" s="197"/>
      <c r="BK168" s="197"/>
      <c r="BL168" s="197"/>
      <c r="BM168" s="197"/>
      <c r="BN168" s="197"/>
      <c r="BO168" s="197"/>
      <c r="BP168" s="197"/>
      <c r="BQ168" s="197"/>
      <c r="BR168" s="197"/>
      <c r="BS168" s="197"/>
      <c r="BT168" s="197"/>
      <c r="BU168" s="197"/>
      <c r="BV168" s="197"/>
      <c r="BW168" s="197"/>
      <c r="BX168" s="197"/>
      <c r="BY168" s="197"/>
      <c r="BZ168" s="197"/>
      <c r="CA168" s="197"/>
      <c r="CB168" s="197"/>
      <c r="CC168" s="197"/>
      <c r="CD168" s="175"/>
    </row>
    <row r="169" spans="25:166" x14ac:dyDescent="0.4">
      <c r="Y169" s="174"/>
      <c r="Z169" s="197"/>
      <c r="AA169" s="197"/>
      <c r="AB169" s="197"/>
      <c r="AC169" s="197"/>
      <c r="AD169" s="197"/>
      <c r="AE169" s="197"/>
      <c r="AF169" s="197"/>
      <c r="AG169" s="197"/>
      <c r="AH169" s="197"/>
      <c r="AI169" s="197"/>
      <c r="AJ169" s="197"/>
      <c r="AK169" s="197"/>
      <c r="AL169" s="197"/>
      <c r="AM169" s="197"/>
      <c r="AN169" s="197"/>
      <c r="AO169" s="197"/>
      <c r="AP169" s="197"/>
      <c r="AQ169" s="197"/>
      <c r="AR169" s="197"/>
      <c r="AS169" s="197"/>
      <c r="AT169" s="197"/>
      <c r="AU169" s="197"/>
      <c r="AV169" s="197"/>
      <c r="AW169" s="197"/>
      <c r="AX169" s="197"/>
      <c r="AY169" s="197"/>
      <c r="AZ169" s="175"/>
      <c r="BC169" s="174"/>
      <c r="BD169" s="197"/>
      <c r="BE169" s="197"/>
      <c r="BF169" s="197"/>
      <c r="BG169" s="197"/>
      <c r="BH169" s="197"/>
      <c r="BI169" s="197"/>
      <c r="BJ169" s="197"/>
      <c r="BK169" s="197"/>
      <c r="BL169" s="197"/>
      <c r="BM169" s="197"/>
      <c r="BN169" s="197"/>
      <c r="BO169" s="197"/>
      <c r="BP169" s="197"/>
      <c r="BQ169" s="197"/>
      <c r="BR169" s="197"/>
      <c r="BS169" s="197"/>
      <c r="BT169" s="197"/>
      <c r="BU169" s="197"/>
      <c r="BV169" s="197"/>
      <c r="BW169" s="197"/>
      <c r="BX169" s="197"/>
      <c r="BY169" s="197"/>
      <c r="BZ169" s="197"/>
      <c r="CA169" s="197"/>
      <c r="CB169" s="197"/>
      <c r="CC169" s="197"/>
      <c r="CD169" s="175"/>
    </row>
    <row r="170" spans="25:166" x14ac:dyDescent="0.4">
      <c r="Y170" s="174"/>
      <c r="Z170" s="197"/>
      <c r="AA170" s="197"/>
      <c r="AB170" s="197"/>
      <c r="AC170" s="197"/>
      <c r="AD170" s="197"/>
      <c r="AE170" s="197"/>
      <c r="AF170" s="197"/>
      <c r="AG170" s="197"/>
      <c r="AH170" s="197"/>
      <c r="AI170" s="197"/>
      <c r="AJ170" s="197"/>
      <c r="AK170" s="197"/>
      <c r="AL170" s="197"/>
      <c r="AM170" s="197"/>
      <c r="AN170" s="197"/>
      <c r="AO170" s="197"/>
      <c r="AP170" s="197"/>
      <c r="AQ170" s="197"/>
      <c r="AR170" s="197"/>
      <c r="AS170" s="197"/>
      <c r="AT170" s="197"/>
      <c r="AU170" s="197"/>
      <c r="AV170" s="197"/>
      <c r="AW170" s="197"/>
      <c r="AX170" s="197"/>
      <c r="AY170" s="197"/>
      <c r="AZ170" s="175"/>
      <c r="BC170" s="174"/>
      <c r="BD170" s="197"/>
      <c r="BE170" s="197"/>
      <c r="BF170" s="197"/>
      <c r="BG170" s="197"/>
      <c r="BH170" s="197"/>
      <c r="BI170" s="197"/>
      <c r="BJ170" s="197"/>
      <c r="BK170" s="197"/>
      <c r="BL170" s="197"/>
      <c r="BM170" s="197"/>
      <c r="BN170" s="197"/>
      <c r="BO170" s="197"/>
      <c r="BP170" s="197"/>
      <c r="BQ170" s="197"/>
      <c r="BR170" s="197"/>
      <c r="BS170" s="197"/>
      <c r="BT170" s="197"/>
      <c r="BU170" s="197"/>
      <c r="BV170" s="197"/>
      <c r="BW170" s="197"/>
      <c r="BX170" s="197"/>
      <c r="BY170" s="197"/>
      <c r="BZ170" s="197"/>
      <c r="CA170" s="197"/>
      <c r="CB170" s="197"/>
      <c r="CC170" s="197"/>
      <c r="CD170" s="175"/>
    </row>
    <row r="171" spans="25:166" x14ac:dyDescent="0.4">
      <c r="Y171" s="174"/>
      <c r="Z171" s="197"/>
      <c r="AA171" s="197"/>
      <c r="AB171" s="197"/>
      <c r="AC171" s="197"/>
      <c r="AD171" s="197"/>
      <c r="AE171" s="197"/>
      <c r="AF171" s="197"/>
      <c r="AG171" s="197"/>
      <c r="AH171" s="197"/>
      <c r="AI171" s="197"/>
      <c r="AJ171" s="197"/>
      <c r="AK171" s="197"/>
      <c r="AL171" s="197"/>
      <c r="AM171" s="197"/>
      <c r="AN171" s="197"/>
      <c r="AO171" s="197"/>
      <c r="AP171" s="197"/>
      <c r="AQ171" s="197"/>
      <c r="AR171" s="197"/>
      <c r="AS171" s="197"/>
      <c r="AT171" s="197"/>
      <c r="AU171" s="197"/>
      <c r="AV171" s="197"/>
      <c r="AW171" s="197"/>
      <c r="AX171" s="197"/>
      <c r="AY171" s="197"/>
      <c r="AZ171" s="175"/>
      <c r="BC171" s="174"/>
      <c r="BD171" s="197"/>
      <c r="BE171" s="197"/>
      <c r="BF171" s="197"/>
      <c r="BG171" s="197"/>
      <c r="BH171" s="197"/>
      <c r="BI171" s="197"/>
      <c r="BJ171" s="197"/>
      <c r="BK171" s="197"/>
      <c r="BL171" s="197"/>
      <c r="BM171" s="197"/>
      <c r="BN171" s="197"/>
      <c r="BO171" s="197"/>
      <c r="BP171" s="197"/>
      <c r="BQ171" s="197"/>
      <c r="BR171" s="197"/>
      <c r="BS171" s="197"/>
      <c r="BT171" s="197"/>
      <c r="BU171" s="197"/>
      <c r="BV171" s="197"/>
      <c r="BW171" s="197"/>
      <c r="BX171" s="197"/>
      <c r="BY171" s="197"/>
      <c r="BZ171" s="197"/>
      <c r="CA171" s="197"/>
      <c r="CB171" s="197"/>
      <c r="CC171" s="197"/>
      <c r="CD171" s="175"/>
    </row>
    <row r="172" spans="25:166" x14ac:dyDescent="0.4">
      <c r="Y172" s="174"/>
      <c r="Z172" s="197"/>
      <c r="AA172" s="197"/>
      <c r="AB172" s="197"/>
      <c r="AC172" s="197"/>
      <c r="AD172" s="197"/>
      <c r="AE172" s="197"/>
      <c r="AF172" s="197"/>
      <c r="AG172" s="197"/>
      <c r="AH172" s="197"/>
      <c r="AI172" s="197"/>
      <c r="AJ172" s="197"/>
      <c r="AK172" s="197"/>
      <c r="AL172" s="197"/>
      <c r="AM172" s="197"/>
      <c r="AN172" s="197"/>
      <c r="AO172" s="197"/>
      <c r="AP172" s="197"/>
      <c r="AQ172" s="197"/>
      <c r="AR172" s="197"/>
      <c r="AS172" s="197"/>
      <c r="AT172" s="197"/>
      <c r="AU172" s="197"/>
      <c r="AV172" s="197"/>
      <c r="AW172" s="197"/>
      <c r="AX172" s="197"/>
      <c r="AY172" s="197"/>
      <c r="AZ172" s="175"/>
      <c r="BC172" s="174"/>
      <c r="BD172" s="197"/>
      <c r="BE172" s="197"/>
      <c r="BF172" s="197"/>
      <c r="BG172" s="197"/>
      <c r="BH172" s="197"/>
      <c r="BI172" s="197"/>
      <c r="BJ172" s="197"/>
      <c r="BK172" s="197"/>
      <c r="BL172" s="197"/>
      <c r="BM172" s="197"/>
      <c r="BN172" s="197"/>
      <c r="BO172" s="197"/>
      <c r="BP172" s="197"/>
      <c r="BQ172" s="197"/>
      <c r="BR172" s="197"/>
      <c r="BS172" s="197"/>
      <c r="BT172" s="197"/>
      <c r="BU172" s="197"/>
      <c r="BV172" s="197"/>
      <c r="BW172" s="197"/>
      <c r="BX172" s="197"/>
      <c r="BY172" s="197"/>
      <c r="BZ172" s="197"/>
      <c r="CA172" s="197"/>
      <c r="CB172" s="197"/>
      <c r="CC172" s="197"/>
      <c r="CD172" s="175"/>
    </row>
    <row r="173" spans="25:166" x14ac:dyDescent="0.4">
      <c r="Y173" s="174"/>
      <c r="Z173" s="197"/>
      <c r="AA173" s="197"/>
      <c r="AB173" s="197"/>
      <c r="AC173" s="197"/>
      <c r="AD173" s="197"/>
      <c r="AE173" s="197"/>
      <c r="AF173" s="197"/>
      <c r="AG173" s="197"/>
      <c r="AH173" s="197"/>
      <c r="AI173" s="197"/>
      <c r="AJ173" s="197"/>
      <c r="AK173" s="197"/>
      <c r="AL173" s="197"/>
      <c r="AM173" s="197"/>
      <c r="AN173" s="197"/>
      <c r="AO173" s="197"/>
      <c r="AP173" s="197"/>
      <c r="AQ173" s="197"/>
      <c r="AR173" s="197"/>
      <c r="AS173" s="197"/>
      <c r="AT173" s="197"/>
      <c r="AU173" s="197"/>
      <c r="AV173" s="197"/>
      <c r="AW173" s="197"/>
      <c r="AX173" s="197"/>
      <c r="AY173" s="197"/>
      <c r="AZ173" s="175"/>
      <c r="BC173" s="174"/>
      <c r="BD173" s="197"/>
      <c r="BE173" s="197"/>
      <c r="BF173" s="197"/>
      <c r="BG173" s="197"/>
      <c r="BH173" s="197"/>
      <c r="BI173" s="197"/>
      <c r="BJ173" s="197"/>
      <c r="BK173" s="197"/>
      <c r="BL173" s="197"/>
      <c r="BM173" s="197"/>
      <c r="BN173" s="197"/>
      <c r="BO173" s="197"/>
      <c r="BP173" s="197"/>
      <c r="BQ173" s="197"/>
      <c r="BR173" s="197"/>
      <c r="BS173" s="197"/>
      <c r="BT173" s="197"/>
      <c r="BU173" s="197"/>
      <c r="BV173" s="197"/>
      <c r="BW173" s="197"/>
      <c r="BX173" s="197"/>
      <c r="BY173" s="197"/>
      <c r="BZ173" s="197"/>
      <c r="CA173" s="197"/>
      <c r="CB173" s="197"/>
      <c r="CC173" s="197"/>
      <c r="CD173" s="175"/>
    </row>
    <row r="174" spans="25:166" x14ac:dyDescent="0.4">
      <c r="Y174" s="174"/>
      <c r="Z174" s="197"/>
      <c r="AA174" s="197"/>
      <c r="AB174" s="197"/>
      <c r="AC174" s="197"/>
      <c r="AD174" s="197"/>
      <c r="AE174" s="197"/>
      <c r="AF174" s="197"/>
      <c r="AG174" s="197"/>
      <c r="AH174" s="197"/>
      <c r="AI174" s="197"/>
      <c r="AJ174" s="197"/>
      <c r="AK174" s="197"/>
      <c r="AL174" s="197"/>
      <c r="AM174" s="197"/>
      <c r="AN174" s="197"/>
      <c r="AO174" s="197"/>
      <c r="AP174" s="197"/>
      <c r="AQ174" s="197"/>
      <c r="AR174" s="197"/>
      <c r="AS174" s="197"/>
      <c r="AT174" s="197"/>
      <c r="AU174" s="197"/>
      <c r="AV174" s="197"/>
      <c r="AW174" s="197"/>
      <c r="AX174" s="197"/>
      <c r="AY174" s="197"/>
      <c r="AZ174" s="175"/>
      <c r="BC174" s="174"/>
      <c r="BD174" s="197"/>
      <c r="BE174" s="197"/>
      <c r="BF174" s="197"/>
      <c r="BG174" s="197"/>
      <c r="BH174" s="197"/>
      <c r="BI174" s="197"/>
      <c r="BJ174" s="197"/>
      <c r="BK174" s="197"/>
      <c r="BL174" s="197"/>
      <c r="BM174" s="197"/>
      <c r="BN174" s="197"/>
      <c r="BO174" s="197"/>
      <c r="BP174" s="197"/>
      <c r="BQ174" s="197"/>
      <c r="BR174" s="197"/>
      <c r="BS174" s="197"/>
      <c r="BT174" s="197"/>
      <c r="BU174" s="197"/>
      <c r="BV174" s="197"/>
      <c r="BW174" s="197"/>
      <c r="BX174" s="197"/>
      <c r="BY174" s="197"/>
      <c r="BZ174" s="197"/>
      <c r="CA174" s="197"/>
      <c r="CB174" s="197"/>
      <c r="CC174" s="197"/>
      <c r="CD174" s="175"/>
    </row>
    <row r="175" spans="25:166" x14ac:dyDescent="0.4">
      <c r="Y175" s="174"/>
      <c r="Z175" s="197"/>
      <c r="AA175" s="197"/>
      <c r="AB175" s="197"/>
      <c r="AC175" s="197"/>
      <c r="AD175" s="197"/>
      <c r="AE175" s="197"/>
      <c r="AF175" s="197"/>
      <c r="AG175" s="197"/>
      <c r="AH175" s="197"/>
      <c r="AI175" s="197"/>
      <c r="AJ175" s="197"/>
      <c r="AK175" s="197"/>
      <c r="AL175" s="197"/>
      <c r="AM175" s="197"/>
      <c r="AN175" s="197"/>
      <c r="AO175" s="197"/>
      <c r="AP175" s="197"/>
      <c r="AQ175" s="197"/>
      <c r="AR175" s="197"/>
      <c r="AS175" s="197"/>
      <c r="AT175" s="197"/>
      <c r="AU175" s="197"/>
      <c r="AV175" s="197"/>
      <c r="AW175" s="197"/>
      <c r="AX175" s="197"/>
      <c r="AY175" s="197"/>
      <c r="AZ175" s="175"/>
      <c r="BC175" s="174"/>
      <c r="BD175" s="197"/>
      <c r="BE175" s="197"/>
      <c r="BF175" s="197"/>
      <c r="BG175" s="197"/>
      <c r="BH175" s="197"/>
      <c r="BI175" s="197"/>
      <c r="BJ175" s="197"/>
      <c r="BK175" s="197"/>
      <c r="BL175" s="197"/>
      <c r="BM175" s="197"/>
      <c r="BN175" s="197"/>
      <c r="BO175" s="197"/>
      <c r="BP175" s="197"/>
      <c r="BQ175" s="197"/>
      <c r="BR175" s="197"/>
      <c r="BS175" s="197"/>
      <c r="BT175" s="197"/>
      <c r="BU175" s="197"/>
      <c r="BV175" s="197"/>
      <c r="BW175" s="197"/>
      <c r="BX175" s="197"/>
      <c r="BY175" s="197"/>
      <c r="BZ175" s="197"/>
      <c r="CA175" s="197"/>
      <c r="CB175" s="197"/>
      <c r="CC175" s="197"/>
      <c r="CD175" s="175"/>
    </row>
    <row r="176" spans="25:166" x14ac:dyDescent="0.4">
      <c r="Y176" s="174"/>
      <c r="Z176" s="197"/>
      <c r="AA176" s="197"/>
      <c r="AB176" s="197"/>
      <c r="AC176" s="197"/>
      <c r="AD176" s="197"/>
      <c r="AE176" s="197"/>
      <c r="AF176" s="197"/>
      <c r="AG176" s="197"/>
      <c r="AH176" s="197"/>
      <c r="AI176" s="197"/>
      <c r="AJ176" s="197"/>
      <c r="AK176" s="197"/>
      <c r="AL176" s="197"/>
      <c r="AM176" s="197"/>
      <c r="AN176" s="197"/>
      <c r="AO176" s="197"/>
      <c r="AP176" s="197"/>
      <c r="AQ176" s="197"/>
      <c r="AR176" s="197"/>
      <c r="AS176" s="197"/>
      <c r="AT176" s="197"/>
      <c r="AU176" s="197"/>
      <c r="AV176" s="197"/>
      <c r="AW176" s="197"/>
      <c r="AX176" s="197"/>
      <c r="AY176" s="197"/>
      <c r="AZ176" s="175"/>
      <c r="BC176" s="174"/>
      <c r="BD176" s="197"/>
      <c r="BE176" s="197"/>
      <c r="BF176" s="197"/>
      <c r="BG176" s="197"/>
      <c r="BH176" s="197"/>
      <c r="BI176" s="197"/>
      <c r="BJ176" s="197"/>
      <c r="BK176" s="197"/>
      <c r="BL176" s="197"/>
      <c r="BM176" s="197"/>
      <c r="BN176" s="197"/>
      <c r="BO176" s="197"/>
      <c r="BP176" s="197"/>
      <c r="BQ176" s="197"/>
      <c r="BR176" s="197"/>
      <c r="BS176" s="197"/>
      <c r="BT176" s="197"/>
      <c r="BU176" s="197"/>
      <c r="BV176" s="197"/>
      <c r="BW176" s="197"/>
      <c r="BX176" s="197"/>
      <c r="BY176" s="197"/>
      <c r="BZ176" s="197"/>
      <c r="CA176" s="197"/>
      <c r="CB176" s="197"/>
      <c r="CC176" s="197"/>
      <c r="CD176" s="175"/>
    </row>
    <row r="177" spans="25:166" x14ac:dyDescent="0.4">
      <c r="Y177" s="174"/>
      <c r="Z177" s="197"/>
      <c r="AA177" s="197"/>
      <c r="AB177" s="197"/>
      <c r="AC177" s="197"/>
      <c r="AD177" s="197"/>
      <c r="AE177" s="197"/>
      <c r="AF177" s="197"/>
      <c r="AG177" s="197"/>
      <c r="AH177" s="197"/>
      <c r="AI177" s="197"/>
      <c r="AJ177" s="197"/>
      <c r="AK177" s="197"/>
      <c r="AL177" s="197"/>
      <c r="AM177" s="197"/>
      <c r="AN177" s="197"/>
      <c r="AO177" s="197"/>
      <c r="AP177" s="197"/>
      <c r="AQ177" s="197"/>
      <c r="AR177" s="197"/>
      <c r="AS177" s="197"/>
      <c r="AT177" s="197"/>
      <c r="AU177" s="197"/>
      <c r="AV177" s="197"/>
      <c r="AW177" s="197"/>
      <c r="AX177" s="197"/>
      <c r="AY177" s="197"/>
      <c r="AZ177" s="175"/>
      <c r="BC177" s="174"/>
      <c r="BD177" s="197"/>
      <c r="BE177" s="197"/>
      <c r="BF177" s="197"/>
      <c r="BG177" s="197"/>
      <c r="BH177" s="197"/>
      <c r="BI177" s="197"/>
      <c r="BJ177" s="197"/>
      <c r="BK177" s="197"/>
      <c r="BL177" s="197"/>
      <c r="BM177" s="197"/>
      <c r="BN177" s="197"/>
      <c r="BO177" s="197"/>
      <c r="BP177" s="197"/>
      <c r="BQ177" s="197"/>
      <c r="BR177" s="197"/>
      <c r="BS177" s="197"/>
      <c r="BT177" s="197"/>
      <c r="BU177" s="197"/>
      <c r="BV177" s="197"/>
      <c r="BW177" s="197"/>
      <c r="BX177" s="197"/>
      <c r="BY177" s="197"/>
      <c r="BZ177" s="197"/>
      <c r="CA177" s="197"/>
      <c r="CB177" s="197"/>
      <c r="CC177" s="197"/>
      <c r="CD177" s="175"/>
    </row>
    <row r="178" spans="25:166" x14ac:dyDescent="0.4">
      <c r="Y178" s="174"/>
      <c r="Z178" s="197"/>
      <c r="AA178" s="197"/>
      <c r="AB178" s="197"/>
      <c r="AC178" s="197"/>
      <c r="AD178" s="197"/>
      <c r="AE178" s="197"/>
      <c r="AF178" s="197"/>
      <c r="AG178" s="197"/>
      <c r="AH178" s="197"/>
      <c r="AI178" s="197"/>
      <c r="AJ178" s="197"/>
      <c r="AK178" s="197"/>
      <c r="AL178" s="197"/>
      <c r="AM178" s="197"/>
      <c r="AN178" s="197"/>
      <c r="AO178" s="197"/>
      <c r="AP178" s="197"/>
      <c r="AQ178" s="197"/>
      <c r="AR178" s="197"/>
      <c r="AS178" s="197"/>
      <c r="AT178" s="197"/>
      <c r="AU178" s="197"/>
      <c r="AV178" s="197"/>
      <c r="AW178" s="197"/>
      <c r="AX178" s="197"/>
      <c r="AY178" s="197"/>
      <c r="AZ178" s="175"/>
      <c r="BC178" s="174"/>
      <c r="BD178" s="197"/>
      <c r="BE178" s="197"/>
      <c r="BF178" s="197"/>
      <c r="BG178" s="197"/>
      <c r="BH178" s="197"/>
      <c r="BI178" s="197"/>
      <c r="BJ178" s="197"/>
      <c r="BK178" s="197"/>
      <c r="BL178" s="197"/>
      <c r="BM178" s="197"/>
      <c r="BN178" s="197"/>
      <c r="BO178" s="197"/>
      <c r="BP178" s="197"/>
      <c r="BQ178" s="197"/>
      <c r="BR178" s="197"/>
      <c r="BS178" s="197"/>
      <c r="BT178" s="197"/>
      <c r="BU178" s="197"/>
      <c r="BV178" s="197"/>
      <c r="BW178" s="197"/>
      <c r="BX178" s="197"/>
      <c r="BY178" s="197"/>
      <c r="BZ178" s="197"/>
      <c r="CA178" s="197"/>
      <c r="CB178" s="197"/>
      <c r="CC178" s="197"/>
      <c r="CD178" s="175"/>
    </row>
    <row r="179" spans="25:166" x14ac:dyDescent="0.4">
      <c r="Y179" s="174"/>
      <c r="Z179" s="197"/>
      <c r="AA179" s="197"/>
      <c r="AB179" s="197"/>
      <c r="AC179" s="197"/>
      <c r="AD179" s="197"/>
      <c r="AE179" s="197"/>
      <c r="AF179" s="197"/>
      <c r="AG179" s="197"/>
      <c r="AH179" s="197"/>
      <c r="AI179" s="197"/>
      <c r="AJ179" s="197"/>
      <c r="AK179" s="197"/>
      <c r="AL179" s="197"/>
      <c r="AM179" s="197"/>
      <c r="AN179" s="197"/>
      <c r="AO179" s="197"/>
      <c r="AP179" s="197"/>
      <c r="AQ179" s="197"/>
      <c r="AR179" s="197"/>
      <c r="AS179" s="197"/>
      <c r="AT179" s="197"/>
      <c r="AU179" s="197"/>
      <c r="AV179" s="197"/>
      <c r="AW179" s="197"/>
      <c r="AX179" s="197"/>
      <c r="AY179" s="197"/>
      <c r="AZ179" s="175"/>
      <c r="BC179" s="174"/>
      <c r="BD179" s="197"/>
      <c r="BE179" s="197"/>
      <c r="BF179" s="197"/>
      <c r="BG179" s="197"/>
      <c r="BH179" s="197"/>
      <c r="BI179" s="197"/>
      <c r="BJ179" s="197"/>
      <c r="BK179" s="197"/>
      <c r="BL179" s="197"/>
      <c r="BM179" s="197"/>
      <c r="BN179" s="197"/>
      <c r="BO179" s="197"/>
      <c r="BP179" s="197"/>
      <c r="BQ179" s="197"/>
      <c r="BR179" s="197"/>
      <c r="BS179" s="197"/>
      <c r="BT179" s="197"/>
      <c r="BU179" s="197"/>
      <c r="BV179" s="197"/>
      <c r="BW179" s="197"/>
      <c r="BX179" s="197"/>
      <c r="BY179" s="197"/>
      <c r="BZ179" s="197"/>
      <c r="CA179" s="197"/>
      <c r="CB179" s="197"/>
      <c r="CC179" s="197"/>
      <c r="CD179" s="175"/>
    </row>
    <row r="180" spans="25:166" x14ac:dyDescent="0.4">
      <c r="Y180" s="174"/>
      <c r="Z180" s="197"/>
      <c r="AA180" s="197"/>
      <c r="AB180" s="197"/>
      <c r="AC180" s="197"/>
      <c r="AD180" s="197"/>
      <c r="AE180" s="197"/>
      <c r="AF180" s="197"/>
      <c r="AG180" s="197"/>
      <c r="AH180" s="197"/>
      <c r="AI180" s="197"/>
      <c r="AJ180" s="197"/>
      <c r="AK180" s="197"/>
      <c r="AL180" s="197"/>
      <c r="AM180" s="197"/>
      <c r="AN180" s="197"/>
      <c r="AO180" s="197"/>
      <c r="AP180" s="197"/>
      <c r="AQ180" s="197"/>
      <c r="AR180" s="197"/>
      <c r="AS180" s="197"/>
      <c r="AT180" s="197"/>
      <c r="AU180" s="197"/>
      <c r="AV180" s="197"/>
      <c r="AW180" s="197"/>
      <c r="AX180" s="197"/>
      <c r="AY180" s="197"/>
      <c r="AZ180" s="175"/>
      <c r="BC180" s="174"/>
      <c r="BD180" s="197"/>
      <c r="BE180" s="197"/>
      <c r="BF180" s="197"/>
      <c r="BG180" s="197"/>
      <c r="BH180" s="197"/>
      <c r="BI180" s="197"/>
      <c r="BJ180" s="197"/>
      <c r="BK180" s="197"/>
      <c r="BL180" s="197"/>
      <c r="BM180" s="197"/>
      <c r="BN180" s="197"/>
      <c r="BO180" s="197"/>
      <c r="BP180" s="197"/>
      <c r="BQ180" s="197"/>
      <c r="BR180" s="197"/>
      <c r="BS180" s="197"/>
      <c r="BT180" s="197"/>
      <c r="BU180" s="197"/>
      <c r="BV180" s="197"/>
      <c r="BW180" s="197"/>
      <c r="BX180" s="197"/>
      <c r="BY180" s="197"/>
      <c r="BZ180" s="197"/>
      <c r="CA180" s="197"/>
      <c r="CB180" s="197"/>
      <c r="CC180" s="197"/>
      <c r="CD180" s="175"/>
    </row>
    <row r="181" spans="25:166" x14ac:dyDescent="0.4">
      <c r="Y181" s="174"/>
      <c r="Z181" s="197"/>
      <c r="AA181" s="197"/>
      <c r="AB181" s="197"/>
      <c r="AC181" s="197"/>
      <c r="AD181" s="197"/>
      <c r="AE181" s="197"/>
      <c r="AF181" s="197"/>
      <c r="AG181" s="197"/>
      <c r="AH181" s="197"/>
      <c r="AI181" s="197"/>
      <c r="AJ181" s="197"/>
      <c r="AK181" s="197"/>
      <c r="AL181" s="197"/>
      <c r="AM181" s="197"/>
      <c r="AN181" s="197"/>
      <c r="AO181" s="197"/>
      <c r="AP181" s="197"/>
      <c r="AQ181" s="197"/>
      <c r="AR181" s="197"/>
      <c r="AS181" s="197"/>
      <c r="AT181" s="197"/>
      <c r="AU181" s="197"/>
      <c r="AV181" s="197"/>
      <c r="AW181" s="197"/>
      <c r="AX181" s="197"/>
      <c r="AY181" s="197"/>
      <c r="AZ181" s="175"/>
      <c r="BC181" s="174"/>
      <c r="BD181" s="197"/>
      <c r="BE181" s="197"/>
      <c r="BF181" s="197"/>
      <c r="BG181" s="197"/>
      <c r="BH181" s="197"/>
      <c r="BI181" s="197"/>
      <c r="BJ181" s="197"/>
      <c r="BK181" s="197"/>
      <c r="BL181" s="197"/>
      <c r="BM181" s="197"/>
      <c r="BN181" s="197"/>
      <c r="BO181" s="197"/>
      <c r="BP181" s="197"/>
      <c r="BQ181" s="197"/>
      <c r="BR181" s="197"/>
      <c r="BS181" s="197"/>
      <c r="BT181" s="197"/>
      <c r="BU181" s="197"/>
      <c r="BV181" s="197"/>
      <c r="BW181" s="197"/>
      <c r="BX181" s="197"/>
      <c r="BY181" s="197"/>
      <c r="BZ181" s="197"/>
      <c r="CA181" s="197"/>
      <c r="CB181" s="197"/>
      <c r="CC181" s="197"/>
      <c r="CD181" s="175"/>
    </row>
    <row r="182" spans="25:166" x14ac:dyDescent="0.4">
      <c r="Y182" s="174"/>
      <c r="Z182" s="197"/>
      <c r="AA182" s="197"/>
      <c r="AB182" s="197"/>
      <c r="AC182" s="197"/>
      <c r="AD182" s="197"/>
      <c r="AE182" s="197"/>
      <c r="AF182" s="197"/>
      <c r="AG182" s="197"/>
      <c r="AH182" s="197"/>
      <c r="AI182" s="197"/>
      <c r="AJ182" s="197"/>
      <c r="AK182" s="197"/>
      <c r="AL182" s="197"/>
      <c r="AM182" s="197"/>
      <c r="AN182" s="197"/>
      <c r="AO182" s="197"/>
      <c r="AP182" s="197"/>
      <c r="AQ182" s="197"/>
      <c r="AR182" s="197"/>
      <c r="AS182" s="197"/>
      <c r="AT182" s="197"/>
      <c r="AU182" s="197"/>
      <c r="AV182" s="197"/>
      <c r="AW182" s="197"/>
      <c r="AX182" s="197"/>
      <c r="AY182" s="197"/>
      <c r="AZ182" s="175"/>
      <c r="BC182" s="174"/>
      <c r="BD182" s="197"/>
      <c r="BE182" s="197"/>
      <c r="BF182" s="197"/>
      <c r="BG182" s="197"/>
      <c r="BH182" s="197"/>
      <c r="BI182" s="197"/>
      <c r="BJ182" s="197"/>
      <c r="BK182" s="197"/>
      <c r="BL182" s="197"/>
      <c r="BM182" s="197"/>
      <c r="BN182" s="197"/>
      <c r="BO182" s="197"/>
      <c r="BP182" s="197"/>
      <c r="BQ182" s="197"/>
      <c r="BR182" s="197"/>
      <c r="BS182" s="197"/>
      <c r="BT182" s="197"/>
      <c r="BU182" s="197"/>
      <c r="BV182" s="197"/>
      <c r="BW182" s="197"/>
      <c r="BX182" s="197"/>
      <c r="BY182" s="197"/>
      <c r="BZ182" s="197"/>
      <c r="CA182" s="197"/>
      <c r="CB182" s="197"/>
      <c r="CC182" s="197"/>
      <c r="CD182" s="175"/>
    </row>
    <row r="183" spans="25:166" ht="18" thickBot="1" x14ac:dyDescent="0.45">
      <c r="Y183" s="193"/>
      <c r="Z183" s="313"/>
      <c r="AA183" s="313"/>
      <c r="AB183" s="313"/>
      <c r="AC183" s="313"/>
      <c r="AD183" s="313"/>
      <c r="AE183" s="313"/>
      <c r="AF183" s="313"/>
      <c r="AG183" s="313"/>
      <c r="AH183" s="313"/>
      <c r="AI183" s="313"/>
      <c r="AJ183" s="313"/>
      <c r="AK183" s="313"/>
      <c r="AL183" s="313"/>
      <c r="AM183" s="313"/>
      <c r="AN183" s="313"/>
      <c r="AO183" s="313"/>
      <c r="AP183" s="313"/>
      <c r="AQ183" s="313"/>
      <c r="AR183" s="313"/>
      <c r="AS183" s="313"/>
      <c r="AT183" s="313"/>
      <c r="AU183" s="313"/>
      <c r="AV183" s="313"/>
      <c r="AW183" s="313"/>
      <c r="AX183" s="313"/>
      <c r="AY183" s="313"/>
      <c r="AZ183" s="194"/>
      <c r="BC183" s="193"/>
      <c r="BD183" s="313"/>
      <c r="BE183" s="313"/>
      <c r="BF183" s="313"/>
      <c r="BG183" s="313"/>
      <c r="BH183" s="313"/>
      <c r="BI183" s="313"/>
      <c r="BJ183" s="313"/>
      <c r="BK183" s="313"/>
      <c r="BL183" s="313"/>
      <c r="BM183" s="313"/>
      <c r="BN183" s="313"/>
      <c r="BO183" s="313"/>
      <c r="BP183" s="313"/>
      <c r="BQ183" s="313"/>
      <c r="BR183" s="313"/>
      <c r="BS183" s="313"/>
      <c r="BT183" s="313"/>
      <c r="BU183" s="313"/>
      <c r="BV183" s="313"/>
      <c r="BW183" s="313"/>
      <c r="BX183" s="313"/>
      <c r="BY183" s="313"/>
      <c r="BZ183" s="313"/>
      <c r="CA183" s="313"/>
      <c r="CB183" s="313"/>
      <c r="CC183" s="313"/>
      <c r="CD183" s="194"/>
    </row>
    <row r="185" spans="25:166" ht="18" thickBot="1" x14ac:dyDescent="0.45"/>
    <row r="186" spans="25:166" x14ac:dyDescent="0.4">
      <c r="Y186" s="195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/>
      <c r="AJ186" s="199"/>
      <c r="AK186" s="199"/>
      <c r="AL186" s="199"/>
      <c r="AM186" s="199"/>
      <c r="AN186" s="199"/>
      <c r="AO186" s="199"/>
      <c r="AP186" s="199"/>
      <c r="AQ186" s="199"/>
      <c r="AR186" s="199"/>
      <c r="AS186" s="199"/>
      <c r="AT186" s="199"/>
      <c r="AU186" s="199"/>
      <c r="AV186" s="199"/>
      <c r="AW186" s="199"/>
      <c r="AX186" s="199"/>
      <c r="AY186" s="199"/>
      <c r="AZ186" s="196"/>
      <c r="BC186" s="195"/>
      <c r="BD186" s="199"/>
      <c r="BE186" s="199"/>
      <c r="BF186" s="199"/>
      <c r="BG186" s="199"/>
      <c r="BH186" s="199"/>
      <c r="BI186" s="199"/>
      <c r="BJ186" s="199"/>
      <c r="BK186" s="199"/>
      <c r="BL186" s="199"/>
      <c r="BM186" s="199"/>
      <c r="BN186" s="199"/>
      <c r="BO186" s="199"/>
      <c r="BP186" s="199"/>
      <c r="BQ186" s="199"/>
      <c r="BR186" s="199"/>
      <c r="BS186" s="199"/>
      <c r="BT186" s="199"/>
      <c r="BU186" s="199"/>
      <c r="BV186" s="199"/>
      <c r="BW186" s="199"/>
      <c r="BX186" s="199"/>
      <c r="BY186" s="199"/>
      <c r="BZ186" s="199"/>
      <c r="CA186" s="199"/>
      <c r="CB186" s="199"/>
      <c r="CC186" s="199"/>
      <c r="CD186" s="196"/>
      <c r="EI186" s="195"/>
      <c r="EJ186" s="199"/>
      <c r="EK186" s="199"/>
      <c r="EL186" s="199"/>
      <c r="EM186" s="199"/>
      <c r="EN186" s="199"/>
      <c r="EO186" s="199"/>
      <c r="EP186" s="199"/>
      <c r="EQ186" s="199"/>
      <c r="ER186" s="199"/>
      <c r="ES186" s="199"/>
      <c r="ET186" s="199"/>
      <c r="EU186" s="199"/>
      <c r="EV186" s="199"/>
      <c r="EW186" s="199"/>
      <c r="EX186" s="199"/>
      <c r="EY186" s="199"/>
      <c r="EZ186" s="199"/>
      <c r="FA186" s="199"/>
      <c r="FB186" s="199"/>
      <c r="FC186" s="199"/>
      <c r="FD186" s="199"/>
      <c r="FE186" s="199"/>
      <c r="FF186" s="199"/>
      <c r="FG186" s="199"/>
      <c r="FH186" s="199"/>
      <c r="FI186" s="199"/>
      <c r="FJ186" s="196"/>
    </row>
    <row r="187" spans="25:166" x14ac:dyDescent="0.4">
      <c r="Y187" s="174"/>
      <c r="Z187" s="197"/>
      <c r="AA187" s="197"/>
      <c r="AB187" s="197"/>
      <c r="AC187" s="197"/>
      <c r="AD187" s="197"/>
      <c r="AE187" s="197"/>
      <c r="AF187" s="197"/>
      <c r="AG187" s="197"/>
      <c r="AH187" s="197"/>
      <c r="AI187" s="197"/>
      <c r="AJ187" s="197"/>
      <c r="AK187" s="197"/>
      <c r="AL187" s="197"/>
      <c r="AM187" s="197"/>
      <c r="AN187" s="197"/>
      <c r="AO187" s="197"/>
      <c r="AP187" s="197"/>
      <c r="AQ187" s="197"/>
      <c r="AR187" s="197"/>
      <c r="AS187" s="197"/>
      <c r="AT187" s="197"/>
      <c r="AU187" s="197"/>
      <c r="AV187" s="197"/>
      <c r="AW187" s="197"/>
      <c r="AX187" s="197"/>
      <c r="AY187" s="197"/>
      <c r="AZ187" s="175"/>
      <c r="BC187" s="174"/>
      <c r="BD187" s="197"/>
      <c r="BE187" s="197"/>
      <c r="BF187" s="197"/>
      <c r="BG187" s="197"/>
      <c r="BH187" s="197"/>
      <c r="BI187" s="197"/>
      <c r="BJ187" s="197"/>
      <c r="BK187" s="197"/>
      <c r="BL187" s="197"/>
      <c r="BM187" s="197"/>
      <c r="BN187" s="197"/>
      <c r="BO187" s="197"/>
      <c r="BP187" s="197"/>
      <c r="BQ187" s="197"/>
      <c r="BR187" s="197"/>
      <c r="BS187" s="197"/>
      <c r="BT187" s="197"/>
      <c r="BU187" s="197"/>
      <c r="BV187" s="197"/>
      <c r="BW187" s="197"/>
      <c r="BX187" s="197"/>
      <c r="BY187" s="197"/>
      <c r="BZ187" s="197"/>
      <c r="CA187" s="197"/>
      <c r="CB187" s="197"/>
      <c r="CC187" s="197"/>
      <c r="CD187" s="175"/>
      <c r="EI187" s="174"/>
      <c r="EJ187" s="197"/>
      <c r="EK187" s="197"/>
      <c r="EL187" s="197"/>
      <c r="EM187" s="197"/>
      <c r="EN187" s="197"/>
      <c r="EO187" s="197"/>
      <c r="EP187" s="197"/>
      <c r="EQ187" s="197"/>
      <c r="ER187" s="197"/>
      <c r="ES187" s="197"/>
      <c r="ET187" s="197"/>
      <c r="EU187" s="197"/>
      <c r="EV187" s="197"/>
      <c r="EW187" s="197"/>
      <c r="EX187" s="197"/>
      <c r="EY187" s="197"/>
      <c r="EZ187" s="197"/>
      <c r="FA187" s="197"/>
      <c r="FB187" s="197"/>
      <c r="FC187" s="197"/>
      <c r="FD187" s="197"/>
      <c r="FE187" s="197"/>
      <c r="FF187" s="197"/>
      <c r="FG187" s="197"/>
      <c r="FH187" s="197"/>
      <c r="FI187" s="197"/>
      <c r="FJ187" s="175"/>
    </row>
    <row r="188" spans="25:166" x14ac:dyDescent="0.4">
      <c r="Y188" s="174"/>
      <c r="Z188" s="197"/>
      <c r="AA188" s="197"/>
      <c r="AB188" s="197"/>
      <c r="AC188" s="197"/>
      <c r="AD188" s="197"/>
      <c r="AE188" s="197"/>
      <c r="AF188" s="197"/>
      <c r="AG188" s="197"/>
      <c r="AH188" s="197"/>
      <c r="AI188" s="197"/>
      <c r="AJ188" s="197"/>
      <c r="AK188" s="197"/>
      <c r="AL188" s="197"/>
      <c r="AM188" s="197"/>
      <c r="AN188" s="197"/>
      <c r="AO188" s="197"/>
      <c r="AP188" s="197"/>
      <c r="AQ188" s="197"/>
      <c r="AR188" s="197"/>
      <c r="AS188" s="197"/>
      <c r="AT188" s="197"/>
      <c r="AU188" s="197"/>
      <c r="AV188" s="197"/>
      <c r="AW188" s="197"/>
      <c r="AX188" s="197"/>
      <c r="AY188" s="197"/>
      <c r="AZ188" s="175"/>
      <c r="BC188" s="174"/>
      <c r="BD188" s="197"/>
      <c r="BE188" s="197"/>
      <c r="BF188" s="197"/>
      <c r="BG188" s="197"/>
      <c r="BH188" s="197"/>
      <c r="BI188" s="197"/>
      <c r="BJ188" s="197"/>
      <c r="BK188" s="197"/>
      <c r="BL188" s="197"/>
      <c r="BM188" s="197"/>
      <c r="BN188" s="197"/>
      <c r="BO188" s="197"/>
      <c r="BP188" s="197"/>
      <c r="BQ188" s="197"/>
      <c r="BR188" s="197"/>
      <c r="BS188" s="197"/>
      <c r="BT188" s="197"/>
      <c r="BU188" s="197"/>
      <c r="BV188" s="197"/>
      <c r="BW188" s="197"/>
      <c r="BX188" s="197"/>
      <c r="BY188" s="197"/>
      <c r="BZ188" s="197"/>
      <c r="CA188" s="197"/>
      <c r="CB188" s="197"/>
      <c r="CC188" s="197"/>
      <c r="CD188" s="175"/>
      <c r="EI188" s="174"/>
      <c r="EJ188" s="197"/>
      <c r="EK188" s="197"/>
      <c r="EL188" s="197"/>
      <c r="EM188" s="197"/>
      <c r="EN188" s="197"/>
      <c r="EO188" s="197"/>
      <c r="EP188" s="197"/>
      <c r="EQ188" s="197"/>
      <c r="ER188" s="197"/>
      <c r="ES188" s="197"/>
      <c r="ET188" s="197"/>
      <c r="EU188" s="197"/>
      <c r="EV188" s="197"/>
      <c r="EW188" s="197"/>
      <c r="EX188" s="197"/>
      <c r="EY188" s="197"/>
      <c r="EZ188" s="197"/>
      <c r="FA188" s="197"/>
      <c r="FB188" s="197"/>
      <c r="FC188" s="197"/>
      <c r="FD188" s="197"/>
      <c r="FE188" s="197"/>
      <c r="FF188" s="197"/>
      <c r="FG188" s="197"/>
      <c r="FH188" s="197"/>
      <c r="FI188" s="197"/>
      <c r="FJ188" s="175"/>
    </row>
    <row r="189" spans="25:166" x14ac:dyDescent="0.4">
      <c r="Y189" s="174"/>
      <c r="Z189" s="197"/>
      <c r="AA189" s="197"/>
      <c r="AB189" s="197"/>
      <c r="AC189" s="197"/>
      <c r="AD189" s="197"/>
      <c r="AE189" s="197"/>
      <c r="AF189" s="197"/>
      <c r="AG189" s="197"/>
      <c r="AH189" s="197"/>
      <c r="AI189" s="197"/>
      <c r="AJ189" s="197"/>
      <c r="AK189" s="197"/>
      <c r="AL189" s="197"/>
      <c r="AM189" s="197"/>
      <c r="AN189" s="197"/>
      <c r="AO189" s="197"/>
      <c r="AP189" s="197"/>
      <c r="AQ189" s="197"/>
      <c r="AR189" s="197"/>
      <c r="AS189" s="197"/>
      <c r="AT189" s="197"/>
      <c r="AU189" s="197"/>
      <c r="AV189" s="197"/>
      <c r="AW189" s="197"/>
      <c r="AX189" s="197"/>
      <c r="AY189" s="197"/>
      <c r="AZ189" s="175"/>
      <c r="BC189" s="174"/>
      <c r="BD189" s="197"/>
      <c r="BE189" s="197"/>
      <c r="BF189" s="197"/>
      <c r="BG189" s="197"/>
      <c r="BH189" s="197"/>
      <c r="BI189" s="197"/>
      <c r="BJ189" s="197"/>
      <c r="BK189" s="197"/>
      <c r="BL189" s="197"/>
      <c r="BM189" s="197"/>
      <c r="BN189" s="197"/>
      <c r="BO189" s="197"/>
      <c r="BP189" s="197"/>
      <c r="BQ189" s="197"/>
      <c r="BR189" s="197"/>
      <c r="BS189" s="197"/>
      <c r="BT189" s="197"/>
      <c r="BU189" s="197"/>
      <c r="BV189" s="197"/>
      <c r="BW189" s="197"/>
      <c r="BX189" s="197"/>
      <c r="BY189" s="197"/>
      <c r="BZ189" s="197"/>
      <c r="CA189" s="197"/>
      <c r="CB189" s="197"/>
      <c r="CC189" s="197"/>
      <c r="CD189" s="175"/>
      <c r="EI189" s="174"/>
      <c r="EJ189" s="197"/>
      <c r="EK189" s="197"/>
      <c r="EL189" s="197"/>
      <c r="EM189" s="197"/>
      <c r="EN189" s="197"/>
      <c r="EO189" s="197"/>
      <c r="EP189" s="197"/>
      <c r="EQ189" s="197"/>
      <c r="ER189" s="197"/>
      <c r="ES189" s="197"/>
      <c r="ET189" s="197"/>
      <c r="EU189" s="197"/>
      <c r="EV189" s="197"/>
      <c r="EW189" s="197"/>
      <c r="EX189" s="197"/>
      <c r="EY189" s="197"/>
      <c r="EZ189" s="197"/>
      <c r="FA189" s="197"/>
      <c r="FB189" s="197"/>
      <c r="FC189" s="197"/>
      <c r="FD189" s="197"/>
      <c r="FE189" s="197"/>
      <c r="FF189" s="197"/>
      <c r="FG189" s="197"/>
      <c r="FH189" s="197"/>
      <c r="FI189" s="197"/>
      <c r="FJ189" s="175"/>
    </row>
    <row r="190" spans="25:166" x14ac:dyDescent="0.4">
      <c r="Y190" s="174"/>
      <c r="Z190" s="197"/>
      <c r="AA190" s="197"/>
      <c r="AB190" s="197"/>
      <c r="AC190" s="197"/>
      <c r="AD190" s="197"/>
      <c r="AE190" s="197"/>
      <c r="AF190" s="197"/>
      <c r="AG190" s="197"/>
      <c r="AH190" s="197"/>
      <c r="AI190" s="197"/>
      <c r="AJ190" s="197"/>
      <c r="AK190" s="197"/>
      <c r="AL190" s="197"/>
      <c r="AM190" s="197"/>
      <c r="AN190" s="197"/>
      <c r="AO190" s="197"/>
      <c r="AP190" s="197"/>
      <c r="AQ190" s="197"/>
      <c r="AR190" s="197"/>
      <c r="AS190" s="197"/>
      <c r="AT190" s="197"/>
      <c r="AU190" s="197"/>
      <c r="AV190" s="197"/>
      <c r="AW190" s="197"/>
      <c r="AX190" s="197"/>
      <c r="AY190" s="197"/>
      <c r="AZ190" s="175"/>
      <c r="BC190" s="174"/>
      <c r="BD190" s="197"/>
      <c r="BE190" s="197"/>
      <c r="BF190" s="197"/>
      <c r="BG190" s="197"/>
      <c r="BH190" s="197"/>
      <c r="BI190" s="197"/>
      <c r="BJ190" s="197"/>
      <c r="BK190" s="197"/>
      <c r="BL190" s="197"/>
      <c r="BM190" s="197"/>
      <c r="BN190" s="197"/>
      <c r="BO190" s="197"/>
      <c r="BP190" s="197"/>
      <c r="BQ190" s="197"/>
      <c r="BR190" s="197"/>
      <c r="BS190" s="197"/>
      <c r="BT190" s="197"/>
      <c r="BU190" s="197"/>
      <c r="BV190" s="197"/>
      <c r="BW190" s="197"/>
      <c r="BX190" s="197"/>
      <c r="BY190" s="197"/>
      <c r="BZ190" s="197"/>
      <c r="CA190" s="197"/>
      <c r="CB190" s="197"/>
      <c r="CC190" s="197"/>
      <c r="CD190" s="175"/>
      <c r="EI190" s="174"/>
      <c r="EJ190" s="197"/>
      <c r="EK190" s="197"/>
      <c r="EL190" s="197"/>
      <c r="EM190" s="197"/>
      <c r="EN190" s="197"/>
      <c r="EO190" s="197"/>
      <c r="EP190" s="197"/>
      <c r="EQ190" s="197"/>
      <c r="ER190" s="197"/>
      <c r="ES190" s="197"/>
      <c r="ET190" s="197"/>
      <c r="EU190" s="197"/>
      <c r="EV190" s="197"/>
      <c r="EW190" s="197"/>
      <c r="EX190" s="197"/>
      <c r="EY190" s="197"/>
      <c r="EZ190" s="197"/>
      <c r="FA190" s="197"/>
      <c r="FB190" s="197"/>
      <c r="FC190" s="197"/>
      <c r="FD190" s="197"/>
      <c r="FE190" s="197"/>
      <c r="FF190" s="197"/>
      <c r="FG190" s="197"/>
      <c r="FH190" s="197"/>
      <c r="FI190" s="197"/>
      <c r="FJ190" s="175"/>
    </row>
    <row r="191" spans="25:166" x14ac:dyDescent="0.4">
      <c r="Y191" s="174"/>
      <c r="Z191" s="197"/>
      <c r="AA191" s="197"/>
      <c r="AB191" s="197"/>
      <c r="AC191" s="197"/>
      <c r="AD191" s="197"/>
      <c r="AE191" s="197"/>
      <c r="AF191" s="197"/>
      <c r="AG191" s="197"/>
      <c r="AH191" s="197"/>
      <c r="AI191" s="197"/>
      <c r="AJ191" s="197"/>
      <c r="AK191" s="197"/>
      <c r="AL191" s="197"/>
      <c r="AM191" s="197"/>
      <c r="AN191" s="197"/>
      <c r="AO191" s="197"/>
      <c r="AP191" s="197"/>
      <c r="AQ191" s="197"/>
      <c r="AR191" s="197"/>
      <c r="AS191" s="197"/>
      <c r="AT191" s="197"/>
      <c r="AU191" s="197"/>
      <c r="AV191" s="197"/>
      <c r="AW191" s="197"/>
      <c r="AX191" s="197"/>
      <c r="AY191" s="197"/>
      <c r="AZ191" s="175"/>
      <c r="BC191" s="174"/>
      <c r="BD191" s="197"/>
      <c r="BE191" s="197"/>
      <c r="BF191" s="197"/>
      <c r="BG191" s="197"/>
      <c r="BH191" s="197"/>
      <c r="BI191" s="197"/>
      <c r="BJ191" s="197"/>
      <c r="BK191" s="197"/>
      <c r="BL191" s="197"/>
      <c r="BM191" s="197"/>
      <c r="BN191" s="197"/>
      <c r="BO191" s="197"/>
      <c r="BP191" s="197"/>
      <c r="BQ191" s="197"/>
      <c r="BR191" s="197"/>
      <c r="BS191" s="197"/>
      <c r="BT191" s="197"/>
      <c r="BU191" s="197"/>
      <c r="BV191" s="197"/>
      <c r="BW191" s="197"/>
      <c r="BX191" s="197"/>
      <c r="BY191" s="197"/>
      <c r="BZ191" s="197"/>
      <c r="CA191" s="197"/>
      <c r="CB191" s="197"/>
      <c r="CC191" s="197"/>
      <c r="CD191" s="175"/>
      <c r="EI191" s="174"/>
      <c r="EJ191" s="197"/>
      <c r="EK191" s="197"/>
      <c r="EL191" s="197"/>
      <c r="EM191" s="197"/>
      <c r="EN191" s="197"/>
      <c r="EO191" s="197"/>
      <c r="EP191" s="197"/>
      <c r="EQ191" s="197"/>
      <c r="ER191" s="197"/>
      <c r="ES191" s="197"/>
      <c r="ET191" s="197"/>
      <c r="EU191" s="197"/>
      <c r="EV191" s="197"/>
      <c r="EW191" s="197"/>
      <c r="EX191" s="197"/>
      <c r="EY191" s="197"/>
      <c r="EZ191" s="197"/>
      <c r="FA191" s="197"/>
      <c r="FB191" s="197"/>
      <c r="FC191" s="197"/>
      <c r="FD191" s="197"/>
      <c r="FE191" s="197"/>
      <c r="FF191" s="197"/>
      <c r="FG191" s="197"/>
      <c r="FH191" s="197"/>
      <c r="FI191" s="197"/>
      <c r="FJ191" s="175"/>
    </row>
    <row r="192" spans="25:166" x14ac:dyDescent="0.4">
      <c r="Y192" s="174"/>
      <c r="Z192" s="197"/>
      <c r="AA192" s="197"/>
      <c r="AB192" s="197"/>
      <c r="AC192" s="197"/>
      <c r="AD192" s="197"/>
      <c r="AE192" s="197"/>
      <c r="AF192" s="197"/>
      <c r="AG192" s="197"/>
      <c r="AH192" s="197"/>
      <c r="AI192" s="197"/>
      <c r="AJ192" s="197"/>
      <c r="AK192" s="197"/>
      <c r="AL192" s="197"/>
      <c r="AM192" s="197"/>
      <c r="AN192" s="197"/>
      <c r="AO192" s="197"/>
      <c r="AP192" s="197"/>
      <c r="AQ192" s="197"/>
      <c r="AR192" s="197"/>
      <c r="AS192" s="197"/>
      <c r="AT192" s="197"/>
      <c r="AU192" s="197"/>
      <c r="AV192" s="197"/>
      <c r="AW192" s="197"/>
      <c r="AX192" s="197"/>
      <c r="AY192" s="197"/>
      <c r="AZ192" s="175"/>
      <c r="BC192" s="174"/>
      <c r="BD192" s="197"/>
      <c r="BE192" s="197"/>
      <c r="BF192" s="197"/>
      <c r="BG192" s="197"/>
      <c r="BH192" s="197"/>
      <c r="BI192" s="197"/>
      <c r="BJ192" s="197"/>
      <c r="BK192" s="197"/>
      <c r="BL192" s="197"/>
      <c r="BM192" s="197"/>
      <c r="BN192" s="197"/>
      <c r="BO192" s="197"/>
      <c r="BP192" s="197"/>
      <c r="BQ192" s="197"/>
      <c r="BR192" s="197"/>
      <c r="BS192" s="197"/>
      <c r="BT192" s="197"/>
      <c r="BU192" s="197"/>
      <c r="BV192" s="197"/>
      <c r="BW192" s="197"/>
      <c r="BX192" s="197"/>
      <c r="BY192" s="197"/>
      <c r="BZ192" s="197"/>
      <c r="CA192" s="197"/>
      <c r="CB192" s="197"/>
      <c r="CC192" s="197"/>
      <c r="CD192" s="175"/>
      <c r="EI192" s="174"/>
      <c r="EJ192" s="197"/>
      <c r="EK192" s="197"/>
      <c r="EL192" s="197"/>
      <c r="EM192" s="197"/>
      <c r="EN192" s="197"/>
      <c r="EO192" s="197"/>
      <c r="EP192" s="197"/>
      <c r="EQ192" s="197"/>
      <c r="ER192" s="197"/>
      <c r="ES192" s="197"/>
      <c r="ET192" s="197"/>
      <c r="EU192" s="197"/>
      <c r="EV192" s="197"/>
      <c r="EW192" s="197"/>
      <c r="EX192" s="197"/>
      <c r="EY192" s="197"/>
      <c r="EZ192" s="197"/>
      <c r="FA192" s="197"/>
      <c r="FB192" s="197"/>
      <c r="FC192" s="197"/>
      <c r="FD192" s="197"/>
      <c r="FE192" s="197"/>
      <c r="FF192" s="197"/>
      <c r="FG192" s="197"/>
      <c r="FH192" s="197"/>
      <c r="FI192" s="197"/>
      <c r="FJ192" s="175"/>
    </row>
    <row r="193" spans="25:166" x14ac:dyDescent="0.4">
      <c r="Y193" s="174"/>
      <c r="Z193" s="197"/>
      <c r="AA193" s="197"/>
      <c r="AB193" s="197"/>
      <c r="AC193" s="197"/>
      <c r="AD193" s="197"/>
      <c r="AE193" s="197"/>
      <c r="AF193" s="197"/>
      <c r="AG193" s="197"/>
      <c r="AH193" s="197"/>
      <c r="AI193" s="197"/>
      <c r="AJ193" s="197"/>
      <c r="AK193" s="197"/>
      <c r="AL193" s="197"/>
      <c r="AM193" s="197"/>
      <c r="AN193" s="197"/>
      <c r="AO193" s="197"/>
      <c r="AP193" s="197"/>
      <c r="AQ193" s="197"/>
      <c r="AR193" s="197"/>
      <c r="AS193" s="197"/>
      <c r="AT193" s="197"/>
      <c r="AU193" s="197"/>
      <c r="AV193" s="197"/>
      <c r="AW193" s="197"/>
      <c r="AX193" s="197"/>
      <c r="AY193" s="197"/>
      <c r="AZ193" s="175"/>
      <c r="BC193" s="174"/>
      <c r="BD193" s="197"/>
      <c r="BE193" s="197"/>
      <c r="BF193" s="197"/>
      <c r="BG193" s="197"/>
      <c r="BH193" s="197"/>
      <c r="BI193" s="197"/>
      <c r="BJ193" s="197"/>
      <c r="BK193" s="197"/>
      <c r="BL193" s="197"/>
      <c r="BM193" s="197"/>
      <c r="BN193" s="197"/>
      <c r="BO193" s="197"/>
      <c r="BP193" s="197"/>
      <c r="BQ193" s="197"/>
      <c r="BR193" s="197"/>
      <c r="BS193" s="197"/>
      <c r="BT193" s="197"/>
      <c r="BU193" s="197"/>
      <c r="BV193" s="197"/>
      <c r="BW193" s="197"/>
      <c r="BX193" s="197"/>
      <c r="BY193" s="197"/>
      <c r="BZ193" s="197"/>
      <c r="CA193" s="197"/>
      <c r="CB193" s="197"/>
      <c r="CC193" s="197"/>
      <c r="CD193" s="175"/>
      <c r="EI193" s="174"/>
      <c r="EJ193" s="197"/>
      <c r="EK193" s="197"/>
      <c r="EL193" s="197"/>
      <c r="EM193" s="197"/>
      <c r="EN193" s="197"/>
      <c r="EO193" s="197"/>
      <c r="EP193" s="197"/>
      <c r="EQ193" s="197"/>
      <c r="ER193" s="197"/>
      <c r="ES193" s="197"/>
      <c r="ET193" s="197"/>
      <c r="EU193" s="197"/>
      <c r="EV193" s="197"/>
      <c r="EW193" s="197"/>
      <c r="EX193" s="197"/>
      <c r="EY193" s="197"/>
      <c r="EZ193" s="197"/>
      <c r="FA193" s="197"/>
      <c r="FB193" s="197"/>
      <c r="FC193" s="197"/>
      <c r="FD193" s="197"/>
      <c r="FE193" s="197"/>
      <c r="FF193" s="197"/>
      <c r="FG193" s="197"/>
      <c r="FH193" s="197"/>
      <c r="FI193" s="197"/>
      <c r="FJ193" s="175"/>
    </row>
    <row r="194" spans="25:166" x14ac:dyDescent="0.4">
      <c r="Y194" s="174"/>
      <c r="Z194" s="197"/>
      <c r="AA194" s="197"/>
      <c r="AB194" s="197"/>
      <c r="AC194" s="197"/>
      <c r="AD194" s="197"/>
      <c r="AE194" s="197"/>
      <c r="AF194" s="197"/>
      <c r="AG194" s="197"/>
      <c r="AH194" s="197"/>
      <c r="AI194" s="197"/>
      <c r="AJ194" s="197"/>
      <c r="AK194" s="197"/>
      <c r="AL194" s="197"/>
      <c r="AM194" s="197"/>
      <c r="AN194" s="197"/>
      <c r="AO194" s="197"/>
      <c r="AP194" s="197"/>
      <c r="AQ194" s="197"/>
      <c r="AR194" s="197"/>
      <c r="AS194" s="197"/>
      <c r="AT194" s="197"/>
      <c r="AU194" s="197"/>
      <c r="AV194" s="197"/>
      <c r="AW194" s="197"/>
      <c r="AX194" s="197"/>
      <c r="AY194" s="197"/>
      <c r="AZ194" s="175"/>
      <c r="BC194" s="174"/>
      <c r="BD194" s="197"/>
      <c r="BE194" s="197"/>
      <c r="BF194" s="197"/>
      <c r="BG194" s="197"/>
      <c r="BH194" s="197"/>
      <c r="BI194" s="197"/>
      <c r="BJ194" s="197"/>
      <c r="BK194" s="197"/>
      <c r="BL194" s="197"/>
      <c r="BM194" s="197"/>
      <c r="BN194" s="197"/>
      <c r="BO194" s="197"/>
      <c r="BP194" s="197"/>
      <c r="BQ194" s="197"/>
      <c r="BR194" s="197"/>
      <c r="BS194" s="197"/>
      <c r="BT194" s="197"/>
      <c r="BU194" s="197"/>
      <c r="BV194" s="197"/>
      <c r="BW194" s="197"/>
      <c r="BX194" s="197"/>
      <c r="BY194" s="197"/>
      <c r="BZ194" s="197"/>
      <c r="CA194" s="197"/>
      <c r="CB194" s="197"/>
      <c r="CC194" s="197"/>
      <c r="CD194" s="175"/>
      <c r="EI194" s="174"/>
      <c r="EJ194" s="197"/>
      <c r="EK194" s="197"/>
      <c r="EL194" s="197"/>
      <c r="EM194" s="197"/>
      <c r="EN194" s="197"/>
      <c r="EO194" s="197"/>
      <c r="EP194" s="197"/>
      <c r="EQ194" s="197"/>
      <c r="ER194" s="197"/>
      <c r="ES194" s="197"/>
      <c r="ET194" s="197"/>
      <c r="EU194" s="197"/>
      <c r="EV194" s="197"/>
      <c r="EW194" s="197"/>
      <c r="EX194" s="197"/>
      <c r="EY194" s="197"/>
      <c r="EZ194" s="197"/>
      <c r="FA194" s="197"/>
      <c r="FB194" s="197"/>
      <c r="FC194" s="197"/>
      <c r="FD194" s="197"/>
      <c r="FE194" s="197"/>
      <c r="FF194" s="197"/>
      <c r="FG194" s="197"/>
      <c r="FH194" s="197"/>
      <c r="FI194" s="197"/>
      <c r="FJ194" s="175"/>
    </row>
    <row r="195" spans="25:166" x14ac:dyDescent="0.4">
      <c r="Y195" s="174"/>
      <c r="Z195" s="197"/>
      <c r="AA195" s="197"/>
      <c r="AB195" s="197"/>
      <c r="AC195" s="197"/>
      <c r="AD195" s="197"/>
      <c r="AE195" s="197"/>
      <c r="AF195" s="197"/>
      <c r="AG195" s="197"/>
      <c r="AH195" s="197"/>
      <c r="AI195" s="197"/>
      <c r="AJ195" s="197"/>
      <c r="AK195" s="197"/>
      <c r="AL195" s="197"/>
      <c r="AM195" s="197"/>
      <c r="AN195" s="197"/>
      <c r="AO195" s="197"/>
      <c r="AP195" s="197"/>
      <c r="AQ195" s="197"/>
      <c r="AR195" s="197"/>
      <c r="AS195" s="197"/>
      <c r="AT195" s="197"/>
      <c r="AU195" s="197"/>
      <c r="AV195" s="197"/>
      <c r="AW195" s="197"/>
      <c r="AX195" s="197"/>
      <c r="AY195" s="197"/>
      <c r="AZ195" s="175"/>
      <c r="BC195" s="174"/>
      <c r="BD195" s="197"/>
      <c r="BE195" s="197"/>
      <c r="BF195" s="197"/>
      <c r="BG195" s="197"/>
      <c r="BH195" s="197"/>
      <c r="BI195" s="197"/>
      <c r="BJ195" s="197"/>
      <c r="BK195" s="197"/>
      <c r="BL195" s="197"/>
      <c r="BM195" s="197"/>
      <c r="BN195" s="197"/>
      <c r="BO195" s="197"/>
      <c r="BP195" s="197"/>
      <c r="BQ195" s="197"/>
      <c r="BR195" s="197"/>
      <c r="BS195" s="197"/>
      <c r="BT195" s="197"/>
      <c r="BU195" s="197"/>
      <c r="BV195" s="197"/>
      <c r="BW195" s="197"/>
      <c r="BX195" s="197"/>
      <c r="BY195" s="197"/>
      <c r="BZ195" s="197"/>
      <c r="CA195" s="197"/>
      <c r="CB195" s="197"/>
      <c r="CC195" s="197"/>
      <c r="CD195" s="175"/>
      <c r="EI195" s="174"/>
      <c r="EJ195" s="197"/>
      <c r="EK195" s="197"/>
      <c r="EL195" s="197"/>
      <c r="EM195" s="197"/>
      <c r="EN195" s="197"/>
      <c r="EO195" s="197"/>
      <c r="EP195" s="197"/>
      <c r="EQ195" s="197"/>
      <c r="ER195" s="197"/>
      <c r="ES195" s="197"/>
      <c r="ET195" s="197"/>
      <c r="EU195" s="197"/>
      <c r="EV195" s="197"/>
      <c r="EW195" s="197"/>
      <c r="EX195" s="197"/>
      <c r="EY195" s="197"/>
      <c r="EZ195" s="197"/>
      <c r="FA195" s="197"/>
      <c r="FB195" s="197"/>
      <c r="FC195" s="197"/>
      <c r="FD195" s="197"/>
      <c r="FE195" s="197"/>
      <c r="FF195" s="197"/>
      <c r="FG195" s="197"/>
      <c r="FH195" s="197"/>
      <c r="FI195" s="197"/>
      <c r="FJ195" s="175"/>
    </row>
    <row r="196" spans="25:166" x14ac:dyDescent="0.4">
      <c r="Y196" s="174"/>
      <c r="Z196" s="197"/>
      <c r="AA196" s="197"/>
      <c r="AB196" s="197"/>
      <c r="AC196" s="197"/>
      <c r="AD196" s="197"/>
      <c r="AE196" s="197"/>
      <c r="AF196" s="197"/>
      <c r="AG196" s="197"/>
      <c r="AH196" s="197"/>
      <c r="AI196" s="197"/>
      <c r="AJ196" s="197"/>
      <c r="AK196" s="197"/>
      <c r="AL196" s="197"/>
      <c r="AM196" s="197"/>
      <c r="AN196" s="197"/>
      <c r="AO196" s="197"/>
      <c r="AP196" s="197"/>
      <c r="AQ196" s="197"/>
      <c r="AR196" s="197"/>
      <c r="AS196" s="197"/>
      <c r="AT196" s="197"/>
      <c r="AU196" s="197"/>
      <c r="AV196" s="197"/>
      <c r="AW196" s="197"/>
      <c r="AX196" s="197"/>
      <c r="AY196" s="197"/>
      <c r="AZ196" s="175"/>
      <c r="BC196" s="174"/>
      <c r="BD196" s="197"/>
      <c r="BE196" s="197"/>
      <c r="BF196" s="197"/>
      <c r="BG196" s="197"/>
      <c r="BH196" s="197"/>
      <c r="BI196" s="197"/>
      <c r="BJ196" s="197"/>
      <c r="BK196" s="197"/>
      <c r="BL196" s="197"/>
      <c r="BM196" s="197"/>
      <c r="BN196" s="197"/>
      <c r="BO196" s="197"/>
      <c r="BP196" s="197"/>
      <c r="BQ196" s="197"/>
      <c r="BR196" s="197"/>
      <c r="BS196" s="197"/>
      <c r="BT196" s="197"/>
      <c r="BU196" s="197"/>
      <c r="BV196" s="197"/>
      <c r="BW196" s="197"/>
      <c r="BX196" s="197"/>
      <c r="BY196" s="197"/>
      <c r="BZ196" s="197"/>
      <c r="CA196" s="197"/>
      <c r="CB196" s="197"/>
      <c r="CC196" s="197"/>
      <c r="CD196" s="175"/>
      <c r="EI196" s="174"/>
      <c r="EJ196" s="197"/>
      <c r="EK196" s="197"/>
      <c r="EL196" s="197"/>
      <c r="EM196" s="197"/>
      <c r="EN196" s="197"/>
      <c r="EO196" s="197"/>
      <c r="EP196" s="197"/>
      <c r="EQ196" s="197"/>
      <c r="ER196" s="197"/>
      <c r="ES196" s="197"/>
      <c r="ET196" s="197"/>
      <c r="EU196" s="197"/>
      <c r="EV196" s="197"/>
      <c r="EW196" s="197"/>
      <c r="EX196" s="197"/>
      <c r="EY196" s="197"/>
      <c r="EZ196" s="197"/>
      <c r="FA196" s="197"/>
      <c r="FB196" s="197"/>
      <c r="FC196" s="197"/>
      <c r="FD196" s="197"/>
      <c r="FE196" s="197"/>
      <c r="FF196" s="197"/>
      <c r="FG196" s="197"/>
      <c r="FH196" s="197"/>
      <c r="FI196" s="197"/>
      <c r="FJ196" s="175"/>
    </row>
    <row r="197" spans="25:166" x14ac:dyDescent="0.4">
      <c r="Y197" s="174"/>
      <c r="Z197" s="197"/>
      <c r="AA197" s="197"/>
      <c r="AB197" s="197"/>
      <c r="AC197" s="197"/>
      <c r="AD197" s="197"/>
      <c r="AE197" s="197"/>
      <c r="AF197" s="197"/>
      <c r="AG197" s="197"/>
      <c r="AH197" s="197"/>
      <c r="AI197" s="197"/>
      <c r="AJ197" s="197"/>
      <c r="AK197" s="197"/>
      <c r="AL197" s="197"/>
      <c r="AM197" s="197"/>
      <c r="AN197" s="197"/>
      <c r="AO197" s="197"/>
      <c r="AP197" s="197"/>
      <c r="AQ197" s="197"/>
      <c r="AR197" s="197"/>
      <c r="AS197" s="197"/>
      <c r="AT197" s="197"/>
      <c r="AU197" s="197"/>
      <c r="AV197" s="197"/>
      <c r="AW197" s="197"/>
      <c r="AX197" s="197"/>
      <c r="AY197" s="197"/>
      <c r="AZ197" s="175"/>
      <c r="BC197" s="174"/>
      <c r="BD197" s="197"/>
      <c r="BE197" s="197"/>
      <c r="BF197" s="197"/>
      <c r="BG197" s="197"/>
      <c r="BH197" s="197"/>
      <c r="BI197" s="197"/>
      <c r="BJ197" s="197"/>
      <c r="BK197" s="197"/>
      <c r="BL197" s="197"/>
      <c r="BM197" s="197"/>
      <c r="BN197" s="197"/>
      <c r="BO197" s="197"/>
      <c r="BP197" s="197"/>
      <c r="BQ197" s="197"/>
      <c r="BR197" s="197"/>
      <c r="BS197" s="197"/>
      <c r="BT197" s="197"/>
      <c r="BU197" s="197"/>
      <c r="BV197" s="197"/>
      <c r="BW197" s="197"/>
      <c r="BX197" s="197"/>
      <c r="BY197" s="197"/>
      <c r="BZ197" s="197"/>
      <c r="CA197" s="197"/>
      <c r="CB197" s="197"/>
      <c r="CC197" s="197"/>
      <c r="CD197" s="175"/>
      <c r="EI197" s="174"/>
      <c r="EJ197" s="197"/>
      <c r="EK197" s="197"/>
      <c r="EL197" s="197"/>
      <c r="EM197" s="197"/>
      <c r="EN197" s="197"/>
      <c r="EO197" s="197"/>
      <c r="EP197" s="197"/>
      <c r="EQ197" s="197"/>
      <c r="ER197" s="197"/>
      <c r="ES197" s="197"/>
      <c r="ET197" s="197"/>
      <c r="EU197" s="197"/>
      <c r="EV197" s="197"/>
      <c r="EW197" s="197"/>
      <c r="EX197" s="197"/>
      <c r="EY197" s="197"/>
      <c r="EZ197" s="197"/>
      <c r="FA197" s="197"/>
      <c r="FB197" s="197"/>
      <c r="FC197" s="197"/>
      <c r="FD197" s="197"/>
      <c r="FE197" s="197"/>
      <c r="FF197" s="197"/>
      <c r="FG197" s="197"/>
      <c r="FH197" s="197"/>
      <c r="FI197" s="197"/>
      <c r="FJ197" s="175"/>
    </row>
    <row r="198" spans="25:166" x14ac:dyDescent="0.4">
      <c r="Y198" s="174"/>
      <c r="Z198" s="197"/>
      <c r="AA198" s="197"/>
      <c r="AB198" s="197"/>
      <c r="AC198" s="197"/>
      <c r="AD198" s="197"/>
      <c r="AE198" s="197"/>
      <c r="AF198" s="197"/>
      <c r="AG198" s="197"/>
      <c r="AH198" s="197"/>
      <c r="AI198" s="197"/>
      <c r="AJ198" s="197"/>
      <c r="AK198" s="197"/>
      <c r="AL198" s="197"/>
      <c r="AM198" s="197"/>
      <c r="AN198" s="197"/>
      <c r="AO198" s="197"/>
      <c r="AP198" s="197"/>
      <c r="AQ198" s="197"/>
      <c r="AR198" s="197"/>
      <c r="AS198" s="197"/>
      <c r="AT198" s="197"/>
      <c r="AU198" s="197"/>
      <c r="AV198" s="197"/>
      <c r="AW198" s="197"/>
      <c r="AX198" s="197"/>
      <c r="AY198" s="197"/>
      <c r="AZ198" s="175"/>
      <c r="BC198" s="174"/>
      <c r="BD198" s="197"/>
      <c r="BE198" s="197"/>
      <c r="BF198" s="197"/>
      <c r="BG198" s="197"/>
      <c r="BH198" s="197"/>
      <c r="BI198" s="197"/>
      <c r="BJ198" s="197"/>
      <c r="BK198" s="197"/>
      <c r="BL198" s="197"/>
      <c r="BM198" s="197"/>
      <c r="BN198" s="197"/>
      <c r="BO198" s="197"/>
      <c r="BP198" s="197"/>
      <c r="BQ198" s="197"/>
      <c r="BR198" s="197"/>
      <c r="BS198" s="197"/>
      <c r="BT198" s="197"/>
      <c r="BU198" s="197"/>
      <c r="BV198" s="197"/>
      <c r="BW198" s="197"/>
      <c r="BX198" s="197"/>
      <c r="BY198" s="197"/>
      <c r="BZ198" s="197"/>
      <c r="CA198" s="197"/>
      <c r="CB198" s="197"/>
      <c r="CC198" s="197"/>
      <c r="CD198" s="175"/>
      <c r="EI198" s="174"/>
      <c r="EJ198" s="197"/>
      <c r="EK198" s="197"/>
      <c r="EL198" s="197"/>
      <c r="EM198" s="197"/>
      <c r="EN198" s="197"/>
      <c r="EO198" s="197"/>
      <c r="EP198" s="197"/>
      <c r="EQ198" s="197"/>
      <c r="ER198" s="197"/>
      <c r="ES198" s="197"/>
      <c r="ET198" s="197"/>
      <c r="EU198" s="197"/>
      <c r="EV198" s="197"/>
      <c r="EW198" s="197"/>
      <c r="EX198" s="197"/>
      <c r="EY198" s="197"/>
      <c r="EZ198" s="197"/>
      <c r="FA198" s="197"/>
      <c r="FB198" s="197"/>
      <c r="FC198" s="197"/>
      <c r="FD198" s="197"/>
      <c r="FE198" s="197"/>
      <c r="FF198" s="197"/>
      <c r="FG198" s="197"/>
      <c r="FH198" s="197"/>
      <c r="FI198" s="197"/>
      <c r="FJ198" s="175"/>
    </row>
    <row r="199" spans="25:166" x14ac:dyDescent="0.4">
      <c r="Y199" s="174"/>
      <c r="Z199" s="197"/>
      <c r="AA199" s="197"/>
      <c r="AB199" s="197"/>
      <c r="AC199" s="197"/>
      <c r="AD199" s="197"/>
      <c r="AE199" s="197"/>
      <c r="AF199" s="197"/>
      <c r="AG199" s="197"/>
      <c r="AH199" s="197"/>
      <c r="AI199" s="197"/>
      <c r="AJ199" s="197"/>
      <c r="AK199" s="197"/>
      <c r="AL199" s="197"/>
      <c r="AM199" s="197"/>
      <c r="AN199" s="197"/>
      <c r="AO199" s="197"/>
      <c r="AP199" s="197"/>
      <c r="AQ199" s="197"/>
      <c r="AR199" s="197"/>
      <c r="AS199" s="197"/>
      <c r="AT199" s="197"/>
      <c r="AU199" s="197"/>
      <c r="AV199" s="197"/>
      <c r="AW199" s="197"/>
      <c r="AX199" s="197"/>
      <c r="AY199" s="197"/>
      <c r="AZ199" s="175"/>
      <c r="BC199" s="174"/>
      <c r="BD199" s="197"/>
      <c r="BE199" s="197"/>
      <c r="BF199" s="197"/>
      <c r="BG199" s="197"/>
      <c r="BH199" s="197"/>
      <c r="BI199" s="197"/>
      <c r="BJ199" s="197"/>
      <c r="BK199" s="197"/>
      <c r="BL199" s="197"/>
      <c r="BM199" s="197"/>
      <c r="BN199" s="197"/>
      <c r="BO199" s="197"/>
      <c r="BP199" s="197"/>
      <c r="BQ199" s="197"/>
      <c r="BR199" s="197"/>
      <c r="BS199" s="197"/>
      <c r="BT199" s="197"/>
      <c r="BU199" s="197"/>
      <c r="BV199" s="197"/>
      <c r="BW199" s="197"/>
      <c r="BX199" s="197"/>
      <c r="BY199" s="197"/>
      <c r="BZ199" s="197"/>
      <c r="CA199" s="197"/>
      <c r="CB199" s="197"/>
      <c r="CC199" s="197"/>
      <c r="CD199" s="175"/>
      <c r="EI199" s="174"/>
      <c r="EJ199" s="197"/>
      <c r="EK199" s="197"/>
      <c r="EL199" s="197"/>
      <c r="EM199" s="197"/>
      <c r="EN199" s="197"/>
      <c r="EO199" s="197"/>
      <c r="EP199" s="197"/>
      <c r="EQ199" s="197"/>
      <c r="ER199" s="197"/>
      <c r="ES199" s="197"/>
      <c r="ET199" s="197"/>
      <c r="EU199" s="197"/>
      <c r="EV199" s="197"/>
      <c r="EW199" s="197"/>
      <c r="EX199" s="197"/>
      <c r="EY199" s="197"/>
      <c r="EZ199" s="197"/>
      <c r="FA199" s="197"/>
      <c r="FB199" s="197"/>
      <c r="FC199" s="197"/>
      <c r="FD199" s="197"/>
      <c r="FE199" s="197"/>
      <c r="FF199" s="197"/>
      <c r="FG199" s="197"/>
      <c r="FH199" s="197"/>
      <c r="FI199" s="197"/>
      <c r="FJ199" s="175"/>
    </row>
    <row r="200" spans="25:166" x14ac:dyDescent="0.4">
      <c r="Y200" s="174"/>
      <c r="Z200" s="197"/>
      <c r="AA200" s="197"/>
      <c r="AB200" s="197"/>
      <c r="AC200" s="197"/>
      <c r="AD200" s="197"/>
      <c r="AE200" s="197"/>
      <c r="AF200" s="197"/>
      <c r="AG200" s="197"/>
      <c r="AH200" s="197"/>
      <c r="AI200" s="197"/>
      <c r="AJ200" s="197"/>
      <c r="AK200" s="197"/>
      <c r="AL200" s="197"/>
      <c r="AM200" s="197"/>
      <c r="AN200" s="197"/>
      <c r="AO200" s="197"/>
      <c r="AP200" s="197"/>
      <c r="AQ200" s="197"/>
      <c r="AR200" s="197"/>
      <c r="AS200" s="197"/>
      <c r="AT200" s="197"/>
      <c r="AU200" s="197"/>
      <c r="AV200" s="197"/>
      <c r="AW200" s="197"/>
      <c r="AX200" s="197"/>
      <c r="AY200" s="197"/>
      <c r="AZ200" s="175"/>
      <c r="BC200" s="174"/>
      <c r="BD200" s="197"/>
      <c r="BE200" s="197"/>
      <c r="BF200" s="197"/>
      <c r="BG200" s="197"/>
      <c r="BH200" s="197"/>
      <c r="BI200" s="197"/>
      <c r="BJ200" s="197"/>
      <c r="BK200" s="197"/>
      <c r="BL200" s="197"/>
      <c r="BM200" s="197"/>
      <c r="BN200" s="197"/>
      <c r="BO200" s="197"/>
      <c r="BP200" s="197"/>
      <c r="BQ200" s="197"/>
      <c r="BR200" s="197"/>
      <c r="BS200" s="197"/>
      <c r="BT200" s="197"/>
      <c r="BU200" s="197"/>
      <c r="BV200" s="197"/>
      <c r="BW200" s="197"/>
      <c r="BX200" s="197"/>
      <c r="BY200" s="197"/>
      <c r="BZ200" s="197"/>
      <c r="CA200" s="197"/>
      <c r="CB200" s="197"/>
      <c r="CC200" s="197"/>
      <c r="CD200" s="175"/>
      <c r="EI200" s="174"/>
      <c r="EJ200" s="197"/>
      <c r="EK200" s="197"/>
      <c r="EL200" s="197"/>
      <c r="EM200" s="197"/>
      <c r="EN200" s="197"/>
      <c r="EO200" s="197"/>
      <c r="EP200" s="197"/>
      <c r="EQ200" s="197"/>
      <c r="ER200" s="197"/>
      <c r="ES200" s="197"/>
      <c r="ET200" s="197"/>
      <c r="EU200" s="197"/>
      <c r="EV200" s="197"/>
      <c r="EW200" s="197"/>
      <c r="EX200" s="197"/>
      <c r="EY200" s="197"/>
      <c r="EZ200" s="197"/>
      <c r="FA200" s="197"/>
      <c r="FB200" s="197"/>
      <c r="FC200" s="197"/>
      <c r="FD200" s="197"/>
      <c r="FE200" s="197"/>
      <c r="FF200" s="197"/>
      <c r="FG200" s="197"/>
      <c r="FH200" s="197"/>
      <c r="FI200" s="197"/>
      <c r="FJ200" s="175"/>
    </row>
    <row r="201" spans="25:166" x14ac:dyDescent="0.4">
      <c r="Y201" s="174"/>
      <c r="Z201" s="197"/>
      <c r="AA201" s="197"/>
      <c r="AB201" s="197"/>
      <c r="AC201" s="197"/>
      <c r="AD201" s="197"/>
      <c r="AE201" s="197"/>
      <c r="AF201" s="197"/>
      <c r="AG201" s="197"/>
      <c r="AH201" s="197"/>
      <c r="AI201" s="197"/>
      <c r="AJ201" s="197"/>
      <c r="AK201" s="197"/>
      <c r="AL201" s="197"/>
      <c r="AM201" s="197"/>
      <c r="AN201" s="197"/>
      <c r="AO201" s="197"/>
      <c r="AP201" s="197"/>
      <c r="AQ201" s="197"/>
      <c r="AR201" s="197"/>
      <c r="AS201" s="197"/>
      <c r="AT201" s="197"/>
      <c r="AU201" s="197"/>
      <c r="AV201" s="197"/>
      <c r="AW201" s="197"/>
      <c r="AX201" s="197"/>
      <c r="AY201" s="197"/>
      <c r="AZ201" s="175"/>
      <c r="BC201" s="174"/>
      <c r="BD201" s="197"/>
      <c r="BE201" s="197"/>
      <c r="BF201" s="197"/>
      <c r="BG201" s="197"/>
      <c r="BH201" s="197"/>
      <c r="BI201" s="197"/>
      <c r="BJ201" s="197"/>
      <c r="BK201" s="197"/>
      <c r="BL201" s="197"/>
      <c r="BM201" s="197"/>
      <c r="BN201" s="197"/>
      <c r="BO201" s="197"/>
      <c r="BP201" s="197"/>
      <c r="BQ201" s="197"/>
      <c r="BR201" s="197"/>
      <c r="BS201" s="197"/>
      <c r="BT201" s="197"/>
      <c r="BU201" s="197"/>
      <c r="BV201" s="197"/>
      <c r="BW201" s="197"/>
      <c r="BX201" s="197"/>
      <c r="BY201" s="197"/>
      <c r="BZ201" s="197"/>
      <c r="CA201" s="197"/>
      <c r="CB201" s="197"/>
      <c r="CC201" s="197"/>
      <c r="CD201" s="175"/>
      <c r="EI201" s="174"/>
      <c r="EJ201" s="197"/>
      <c r="EK201" s="197"/>
      <c r="EL201" s="197"/>
      <c r="EM201" s="197"/>
      <c r="EN201" s="197"/>
      <c r="EO201" s="197"/>
      <c r="EP201" s="197"/>
      <c r="EQ201" s="197"/>
      <c r="ER201" s="197"/>
      <c r="ES201" s="197"/>
      <c r="ET201" s="197"/>
      <c r="EU201" s="197"/>
      <c r="EV201" s="197"/>
      <c r="EW201" s="197"/>
      <c r="EX201" s="197"/>
      <c r="EY201" s="197"/>
      <c r="EZ201" s="197"/>
      <c r="FA201" s="197"/>
      <c r="FB201" s="197"/>
      <c r="FC201" s="197"/>
      <c r="FD201" s="197"/>
      <c r="FE201" s="197"/>
      <c r="FF201" s="197"/>
      <c r="FG201" s="197"/>
      <c r="FH201" s="197"/>
      <c r="FI201" s="197"/>
      <c r="FJ201" s="175"/>
    </row>
    <row r="202" spans="25:166" x14ac:dyDescent="0.4">
      <c r="Y202" s="174"/>
      <c r="Z202" s="197"/>
      <c r="AA202" s="197"/>
      <c r="AB202" s="197"/>
      <c r="AC202" s="197"/>
      <c r="AD202" s="197"/>
      <c r="AE202" s="197"/>
      <c r="AF202" s="197"/>
      <c r="AG202" s="197"/>
      <c r="AH202" s="197"/>
      <c r="AI202" s="197"/>
      <c r="AJ202" s="197"/>
      <c r="AK202" s="197"/>
      <c r="AL202" s="197"/>
      <c r="AM202" s="197"/>
      <c r="AN202" s="197"/>
      <c r="AO202" s="197"/>
      <c r="AP202" s="197"/>
      <c r="AQ202" s="197"/>
      <c r="AR202" s="197"/>
      <c r="AS202" s="197"/>
      <c r="AT202" s="197"/>
      <c r="AU202" s="197"/>
      <c r="AV202" s="197"/>
      <c r="AW202" s="197"/>
      <c r="AX202" s="197"/>
      <c r="AY202" s="197"/>
      <c r="AZ202" s="175"/>
      <c r="BC202" s="174"/>
      <c r="BD202" s="197"/>
      <c r="BE202" s="197"/>
      <c r="BF202" s="197"/>
      <c r="BG202" s="197"/>
      <c r="BH202" s="197"/>
      <c r="BI202" s="197"/>
      <c r="BJ202" s="197"/>
      <c r="BK202" s="197"/>
      <c r="BL202" s="197"/>
      <c r="BM202" s="197"/>
      <c r="BN202" s="197"/>
      <c r="BO202" s="197"/>
      <c r="BP202" s="197"/>
      <c r="BQ202" s="197"/>
      <c r="BR202" s="197"/>
      <c r="BS202" s="197"/>
      <c r="BT202" s="197"/>
      <c r="BU202" s="197"/>
      <c r="BV202" s="197"/>
      <c r="BW202" s="197"/>
      <c r="BX202" s="197"/>
      <c r="BY202" s="197"/>
      <c r="BZ202" s="197"/>
      <c r="CA202" s="197"/>
      <c r="CB202" s="197"/>
      <c r="CC202" s="197"/>
      <c r="CD202" s="175"/>
      <c r="EI202" s="174"/>
      <c r="EJ202" s="197"/>
      <c r="EK202" s="197"/>
      <c r="EL202" s="197"/>
      <c r="EM202" s="197"/>
      <c r="EN202" s="197"/>
      <c r="EO202" s="197"/>
      <c r="EP202" s="197"/>
      <c r="EQ202" s="197"/>
      <c r="ER202" s="197"/>
      <c r="ES202" s="197"/>
      <c r="ET202" s="197"/>
      <c r="EU202" s="197"/>
      <c r="EV202" s="197"/>
      <c r="EW202" s="197"/>
      <c r="EX202" s="197"/>
      <c r="EY202" s="197"/>
      <c r="EZ202" s="197"/>
      <c r="FA202" s="197"/>
      <c r="FB202" s="197"/>
      <c r="FC202" s="197"/>
      <c r="FD202" s="197"/>
      <c r="FE202" s="197"/>
      <c r="FF202" s="197"/>
      <c r="FG202" s="197"/>
      <c r="FH202" s="197"/>
      <c r="FI202" s="197"/>
      <c r="FJ202" s="175"/>
    </row>
    <row r="203" spans="25:166" x14ac:dyDescent="0.4">
      <c r="Y203" s="174"/>
      <c r="Z203" s="197"/>
      <c r="AA203" s="197"/>
      <c r="AB203" s="197"/>
      <c r="AC203" s="197"/>
      <c r="AD203" s="197"/>
      <c r="AE203" s="197"/>
      <c r="AF203" s="197"/>
      <c r="AG203" s="197"/>
      <c r="AH203" s="197"/>
      <c r="AI203" s="197"/>
      <c r="AJ203" s="197"/>
      <c r="AK203" s="197"/>
      <c r="AL203" s="197"/>
      <c r="AM203" s="197"/>
      <c r="AN203" s="197"/>
      <c r="AO203" s="197"/>
      <c r="AP203" s="197"/>
      <c r="AQ203" s="197"/>
      <c r="AR203" s="197"/>
      <c r="AS203" s="197"/>
      <c r="AT203" s="197"/>
      <c r="AU203" s="197"/>
      <c r="AV203" s="197"/>
      <c r="AW203" s="197"/>
      <c r="AX203" s="197"/>
      <c r="AY203" s="197"/>
      <c r="AZ203" s="175"/>
      <c r="BC203" s="174"/>
      <c r="BD203" s="197"/>
      <c r="BE203" s="197"/>
      <c r="BF203" s="197"/>
      <c r="BG203" s="197"/>
      <c r="BH203" s="197"/>
      <c r="BI203" s="197"/>
      <c r="BJ203" s="197"/>
      <c r="BK203" s="197"/>
      <c r="BL203" s="197"/>
      <c r="BM203" s="197"/>
      <c r="BN203" s="197"/>
      <c r="BO203" s="197"/>
      <c r="BP203" s="197"/>
      <c r="BQ203" s="197"/>
      <c r="BR203" s="197"/>
      <c r="BS203" s="197"/>
      <c r="BT203" s="197"/>
      <c r="BU203" s="197"/>
      <c r="BV203" s="197"/>
      <c r="BW203" s="197"/>
      <c r="BX203" s="197"/>
      <c r="BY203" s="197"/>
      <c r="BZ203" s="197"/>
      <c r="CA203" s="197"/>
      <c r="CB203" s="197"/>
      <c r="CC203" s="197"/>
      <c r="CD203" s="175"/>
      <c r="EI203" s="174"/>
      <c r="EJ203" s="197"/>
      <c r="EK203" s="197"/>
      <c r="EL203" s="197"/>
      <c r="EM203" s="197"/>
      <c r="EN203" s="197"/>
      <c r="EO203" s="197"/>
      <c r="EP203" s="197"/>
      <c r="EQ203" s="197"/>
      <c r="ER203" s="197"/>
      <c r="ES203" s="197"/>
      <c r="ET203" s="197"/>
      <c r="EU203" s="197"/>
      <c r="EV203" s="197"/>
      <c r="EW203" s="197"/>
      <c r="EX203" s="197"/>
      <c r="EY203" s="197"/>
      <c r="EZ203" s="197"/>
      <c r="FA203" s="197"/>
      <c r="FB203" s="197"/>
      <c r="FC203" s="197"/>
      <c r="FD203" s="197"/>
      <c r="FE203" s="197"/>
      <c r="FF203" s="197"/>
      <c r="FG203" s="197"/>
      <c r="FH203" s="197"/>
      <c r="FI203" s="197"/>
      <c r="FJ203" s="175"/>
    </row>
    <row r="204" spans="25:166" x14ac:dyDescent="0.4">
      <c r="Y204" s="174"/>
      <c r="Z204" s="197"/>
      <c r="AA204" s="197"/>
      <c r="AB204" s="197"/>
      <c r="AC204" s="197"/>
      <c r="AD204" s="197"/>
      <c r="AE204" s="197"/>
      <c r="AF204" s="197"/>
      <c r="AG204" s="197"/>
      <c r="AH204" s="197"/>
      <c r="AI204" s="197"/>
      <c r="AJ204" s="197"/>
      <c r="AK204" s="197"/>
      <c r="AL204" s="197"/>
      <c r="AM204" s="197"/>
      <c r="AN204" s="197"/>
      <c r="AO204" s="197"/>
      <c r="AP204" s="197"/>
      <c r="AQ204" s="197"/>
      <c r="AR204" s="197"/>
      <c r="AS204" s="197"/>
      <c r="AT204" s="197"/>
      <c r="AU204" s="197"/>
      <c r="AV204" s="197"/>
      <c r="AW204" s="197"/>
      <c r="AX204" s="197"/>
      <c r="AY204" s="197"/>
      <c r="AZ204" s="175"/>
      <c r="BC204" s="174"/>
      <c r="BD204" s="197"/>
      <c r="BE204" s="197"/>
      <c r="BF204" s="197"/>
      <c r="BG204" s="197"/>
      <c r="BH204" s="197"/>
      <c r="BI204" s="197"/>
      <c r="BJ204" s="197"/>
      <c r="BK204" s="197"/>
      <c r="BL204" s="197"/>
      <c r="BM204" s="197"/>
      <c r="BN204" s="197"/>
      <c r="BO204" s="197"/>
      <c r="BP204" s="197"/>
      <c r="BQ204" s="197"/>
      <c r="BR204" s="197"/>
      <c r="BS204" s="197"/>
      <c r="BT204" s="197"/>
      <c r="BU204" s="197"/>
      <c r="BV204" s="197"/>
      <c r="BW204" s="197"/>
      <c r="BX204" s="197"/>
      <c r="BY204" s="197"/>
      <c r="BZ204" s="197"/>
      <c r="CA204" s="197"/>
      <c r="CB204" s="197"/>
      <c r="CC204" s="197"/>
      <c r="CD204" s="175"/>
      <c r="EI204" s="174"/>
      <c r="EJ204" s="197"/>
      <c r="EK204" s="197"/>
      <c r="EL204" s="197"/>
      <c r="EM204" s="197"/>
      <c r="EN204" s="197"/>
      <c r="EO204" s="197"/>
      <c r="EP204" s="197"/>
      <c r="EQ204" s="197"/>
      <c r="ER204" s="197"/>
      <c r="ES204" s="197"/>
      <c r="ET204" s="197"/>
      <c r="EU204" s="197"/>
      <c r="EV204" s="197"/>
      <c r="EW204" s="197"/>
      <c r="EX204" s="197"/>
      <c r="EY204" s="197"/>
      <c r="EZ204" s="197"/>
      <c r="FA204" s="197"/>
      <c r="FB204" s="197"/>
      <c r="FC204" s="197"/>
      <c r="FD204" s="197"/>
      <c r="FE204" s="197"/>
      <c r="FF204" s="197"/>
      <c r="FG204" s="197"/>
      <c r="FH204" s="197"/>
      <c r="FI204" s="197"/>
      <c r="FJ204" s="175"/>
    </row>
    <row r="205" spans="25:166" x14ac:dyDescent="0.4">
      <c r="Y205" s="174"/>
      <c r="Z205" s="197"/>
      <c r="AA205" s="197"/>
      <c r="AB205" s="197"/>
      <c r="AC205" s="197"/>
      <c r="AD205" s="197"/>
      <c r="AE205" s="197"/>
      <c r="AF205" s="197"/>
      <c r="AG205" s="197"/>
      <c r="AH205" s="197"/>
      <c r="AI205" s="197"/>
      <c r="AJ205" s="197"/>
      <c r="AK205" s="197"/>
      <c r="AL205" s="197"/>
      <c r="AM205" s="197"/>
      <c r="AN205" s="197"/>
      <c r="AO205" s="197"/>
      <c r="AP205" s="197"/>
      <c r="AQ205" s="197"/>
      <c r="AR205" s="197"/>
      <c r="AS205" s="197"/>
      <c r="AT205" s="197"/>
      <c r="AU205" s="197"/>
      <c r="AV205" s="197"/>
      <c r="AW205" s="197"/>
      <c r="AX205" s="197"/>
      <c r="AY205" s="197"/>
      <c r="AZ205" s="175"/>
      <c r="BC205" s="174"/>
      <c r="BD205" s="197"/>
      <c r="BE205" s="197"/>
      <c r="BF205" s="197"/>
      <c r="BG205" s="197"/>
      <c r="BH205" s="197"/>
      <c r="BI205" s="197"/>
      <c r="BJ205" s="197"/>
      <c r="BK205" s="197"/>
      <c r="BL205" s="197"/>
      <c r="BM205" s="197"/>
      <c r="BN205" s="197"/>
      <c r="BO205" s="197"/>
      <c r="BP205" s="197"/>
      <c r="BQ205" s="197"/>
      <c r="BR205" s="197"/>
      <c r="BS205" s="197"/>
      <c r="BT205" s="197"/>
      <c r="BU205" s="197"/>
      <c r="BV205" s="197"/>
      <c r="BW205" s="197"/>
      <c r="BX205" s="197"/>
      <c r="BY205" s="197"/>
      <c r="BZ205" s="197"/>
      <c r="CA205" s="197"/>
      <c r="CB205" s="197"/>
      <c r="CC205" s="197"/>
      <c r="CD205" s="175"/>
      <c r="EI205" s="174"/>
      <c r="EJ205" s="197"/>
      <c r="EK205" s="197"/>
      <c r="EL205" s="197"/>
      <c r="EM205" s="197"/>
      <c r="EN205" s="197"/>
      <c r="EO205" s="197"/>
      <c r="EP205" s="197"/>
      <c r="EQ205" s="197"/>
      <c r="ER205" s="197"/>
      <c r="ES205" s="197"/>
      <c r="ET205" s="197"/>
      <c r="EU205" s="197"/>
      <c r="EV205" s="197"/>
      <c r="EW205" s="197"/>
      <c r="EX205" s="197"/>
      <c r="EY205" s="197"/>
      <c r="EZ205" s="197"/>
      <c r="FA205" s="197"/>
      <c r="FB205" s="197"/>
      <c r="FC205" s="197"/>
      <c r="FD205" s="197"/>
      <c r="FE205" s="197"/>
      <c r="FF205" s="197"/>
      <c r="FG205" s="197"/>
      <c r="FH205" s="197"/>
      <c r="FI205" s="197"/>
      <c r="FJ205" s="175"/>
    </row>
    <row r="206" spans="25:166" x14ac:dyDescent="0.4">
      <c r="Y206" s="174"/>
      <c r="Z206" s="197"/>
      <c r="AA206" s="197"/>
      <c r="AB206" s="197"/>
      <c r="AC206" s="197"/>
      <c r="AD206" s="197"/>
      <c r="AE206" s="197"/>
      <c r="AF206" s="197"/>
      <c r="AG206" s="197"/>
      <c r="AH206" s="197"/>
      <c r="AI206" s="197"/>
      <c r="AJ206" s="197"/>
      <c r="AK206" s="197"/>
      <c r="AL206" s="197"/>
      <c r="AM206" s="197"/>
      <c r="AN206" s="197"/>
      <c r="AO206" s="197"/>
      <c r="AP206" s="197"/>
      <c r="AQ206" s="197"/>
      <c r="AR206" s="197"/>
      <c r="AS206" s="197"/>
      <c r="AT206" s="197"/>
      <c r="AU206" s="197"/>
      <c r="AV206" s="197"/>
      <c r="AW206" s="197"/>
      <c r="AX206" s="197"/>
      <c r="AY206" s="197"/>
      <c r="AZ206" s="175"/>
      <c r="BC206" s="174"/>
      <c r="BD206" s="197"/>
      <c r="BE206" s="197"/>
      <c r="BF206" s="197"/>
      <c r="BG206" s="197"/>
      <c r="BH206" s="197"/>
      <c r="BI206" s="197"/>
      <c r="BJ206" s="197"/>
      <c r="BK206" s="197"/>
      <c r="BL206" s="197"/>
      <c r="BM206" s="197"/>
      <c r="BN206" s="197"/>
      <c r="BO206" s="197"/>
      <c r="BP206" s="197"/>
      <c r="BQ206" s="197"/>
      <c r="BR206" s="197"/>
      <c r="BS206" s="197"/>
      <c r="BT206" s="197"/>
      <c r="BU206" s="197"/>
      <c r="BV206" s="197"/>
      <c r="BW206" s="197"/>
      <c r="BX206" s="197"/>
      <c r="BY206" s="197"/>
      <c r="BZ206" s="197"/>
      <c r="CA206" s="197"/>
      <c r="CB206" s="197"/>
      <c r="CC206" s="197"/>
      <c r="CD206" s="175"/>
      <c r="EI206" s="174"/>
      <c r="EJ206" s="197"/>
      <c r="EK206" s="197"/>
      <c r="EL206" s="197"/>
      <c r="EM206" s="197"/>
      <c r="EN206" s="197"/>
      <c r="EO206" s="197"/>
      <c r="EP206" s="197"/>
      <c r="EQ206" s="197"/>
      <c r="ER206" s="197"/>
      <c r="ES206" s="197"/>
      <c r="ET206" s="197"/>
      <c r="EU206" s="197"/>
      <c r="EV206" s="197"/>
      <c r="EW206" s="197"/>
      <c r="EX206" s="197"/>
      <c r="EY206" s="197"/>
      <c r="EZ206" s="197"/>
      <c r="FA206" s="197"/>
      <c r="FB206" s="197"/>
      <c r="FC206" s="197"/>
      <c r="FD206" s="197"/>
      <c r="FE206" s="197"/>
      <c r="FF206" s="197"/>
      <c r="FG206" s="197"/>
      <c r="FH206" s="197"/>
      <c r="FI206" s="197"/>
      <c r="FJ206" s="175"/>
    </row>
    <row r="207" spans="25:166" ht="18" thickBot="1" x14ac:dyDescent="0.45">
      <c r="Y207" s="193"/>
      <c r="Z207" s="313"/>
      <c r="AA207" s="313"/>
      <c r="AB207" s="313"/>
      <c r="AC207" s="313"/>
      <c r="AD207" s="313"/>
      <c r="AE207" s="313"/>
      <c r="AF207" s="313"/>
      <c r="AG207" s="313"/>
      <c r="AH207" s="313"/>
      <c r="AI207" s="313"/>
      <c r="AJ207" s="313"/>
      <c r="AK207" s="313"/>
      <c r="AL207" s="313"/>
      <c r="AM207" s="313"/>
      <c r="AN207" s="313"/>
      <c r="AO207" s="313"/>
      <c r="AP207" s="313"/>
      <c r="AQ207" s="313"/>
      <c r="AR207" s="313"/>
      <c r="AS207" s="313"/>
      <c r="AT207" s="313"/>
      <c r="AU207" s="313"/>
      <c r="AV207" s="313"/>
      <c r="AW207" s="313"/>
      <c r="AX207" s="313"/>
      <c r="AY207" s="313"/>
      <c r="AZ207" s="194"/>
      <c r="BC207" s="193"/>
      <c r="BD207" s="313"/>
      <c r="BE207" s="313"/>
      <c r="BF207" s="313"/>
      <c r="BG207" s="313"/>
      <c r="BH207" s="313"/>
      <c r="BI207" s="313"/>
      <c r="BJ207" s="313"/>
      <c r="BK207" s="313"/>
      <c r="BL207" s="313"/>
      <c r="BM207" s="313"/>
      <c r="BN207" s="313"/>
      <c r="BO207" s="313"/>
      <c r="BP207" s="313"/>
      <c r="BQ207" s="313"/>
      <c r="BR207" s="313"/>
      <c r="BS207" s="313"/>
      <c r="BT207" s="313"/>
      <c r="BU207" s="313"/>
      <c r="BV207" s="313"/>
      <c r="BW207" s="313"/>
      <c r="BX207" s="313"/>
      <c r="BY207" s="313"/>
      <c r="BZ207" s="313"/>
      <c r="CA207" s="313"/>
      <c r="CB207" s="313"/>
      <c r="CC207" s="313"/>
      <c r="CD207" s="194"/>
      <c r="EI207" s="193"/>
      <c r="EJ207" s="313"/>
      <c r="EK207" s="313"/>
      <c r="EL207" s="313"/>
      <c r="EM207" s="313"/>
      <c r="EN207" s="313"/>
      <c r="EO207" s="313"/>
      <c r="EP207" s="313"/>
      <c r="EQ207" s="313"/>
      <c r="ER207" s="313"/>
      <c r="ES207" s="313"/>
      <c r="ET207" s="313"/>
      <c r="EU207" s="313"/>
      <c r="EV207" s="313"/>
      <c r="EW207" s="313"/>
      <c r="EX207" s="313"/>
      <c r="EY207" s="313"/>
      <c r="EZ207" s="313"/>
      <c r="FA207" s="313"/>
      <c r="FB207" s="313"/>
      <c r="FC207" s="313"/>
      <c r="FD207" s="313"/>
      <c r="FE207" s="313"/>
      <c r="FF207" s="313"/>
      <c r="FG207" s="313"/>
      <c r="FH207" s="313"/>
      <c r="FI207" s="313"/>
      <c r="FJ207" s="194"/>
    </row>
    <row r="212" spans="139:166" ht="18" thickBot="1" x14ac:dyDescent="0.45"/>
    <row r="213" spans="139:166" x14ac:dyDescent="0.4">
      <c r="EI213" s="195"/>
      <c r="EJ213" s="199"/>
      <c r="EK213" s="199"/>
      <c r="EL213" s="199"/>
      <c r="EM213" s="199"/>
      <c r="EN213" s="199"/>
      <c r="EO213" s="199"/>
      <c r="EP213" s="199"/>
      <c r="EQ213" s="199"/>
      <c r="ER213" s="199"/>
      <c r="ES213" s="199"/>
      <c r="ET213" s="199"/>
      <c r="EU213" s="199"/>
      <c r="EV213" s="199"/>
      <c r="EW213" s="199"/>
      <c r="EX213" s="199"/>
      <c r="EY213" s="199"/>
      <c r="EZ213" s="199"/>
      <c r="FA213" s="199"/>
      <c r="FB213" s="199"/>
      <c r="FC213" s="199"/>
      <c r="FD213" s="199"/>
      <c r="FE213" s="199"/>
      <c r="FF213" s="199"/>
      <c r="FG213" s="199"/>
      <c r="FH213" s="199"/>
      <c r="FI213" s="199"/>
      <c r="FJ213" s="196"/>
    </row>
    <row r="214" spans="139:166" x14ac:dyDescent="0.4">
      <c r="EI214" s="174"/>
      <c r="EJ214" s="197"/>
      <c r="EK214" s="197"/>
      <c r="EL214" s="197"/>
      <c r="EM214" s="197"/>
      <c r="EN214" s="197"/>
      <c r="EO214" s="197"/>
      <c r="EP214" s="197"/>
      <c r="EQ214" s="197"/>
      <c r="ER214" s="197"/>
      <c r="ES214" s="197"/>
      <c r="ET214" s="197"/>
      <c r="EU214" s="197"/>
      <c r="EV214" s="197"/>
      <c r="EW214" s="197"/>
      <c r="EX214" s="197"/>
      <c r="EY214" s="197"/>
      <c r="EZ214" s="197"/>
      <c r="FA214" s="197"/>
      <c r="FB214" s="197"/>
      <c r="FC214" s="197"/>
      <c r="FD214" s="197"/>
      <c r="FE214" s="197"/>
      <c r="FF214" s="197"/>
      <c r="FG214" s="197"/>
      <c r="FH214" s="197"/>
      <c r="FI214" s="197"/>
      <c r="FJ214" s="175"/>
    </row>
    <row r="215" spans="139:166" x14ac:dyDescent="0.4">
      <c r="EI215" s="174"/>
      <c r="EJ215" s="197"/>
      <c r="EK215" s="197"/>
      <c r="EL215" s="197"/>
      <c r="EM215" s="197"/>
      <c r="EN215" s="197"/>
      <c r="EO215" s="197"/>
      <c r="EP215" s="197"/>
      <c r="EQ215" s="197"/>
      <c r="ER215" s="197"/>
      <c r="ES215" s="197"/>
      <c r="ET215" s="197"/>
      <c r="EU215" s="197"/>
      <c r="EV215" s="197"/>
      <c r="EW215" s="197"/>
      <c r="EX215" s="197"/>
      <c r="EY215" s="197"/>
      <c r="EZ215" s="197"/>
      <c r="FA215" s="197"/>
      <c r="FB215" s="197"/>
      <c r="FC215" s="197"/>
      <c r="FD215" s="197"/>
      <c r="FE215" s="197"/>
      <c r="FF215" s="197"/>
      <c r="FG215" s="197"/>
      <c r="FH215" s="197"/>
      <c r="FI215" s="197"/>
      <c r="FJ215" s="175"/>
    </row>
    <row r="216" spans="139:166" x14ac:dyDescent="0.4">
      <c r="EI216" s="174"/>
      <c r="EJ216" s="197"/>
      <c r="EK216" s="197"/>
      <c r="EL216" s="197"/>
      <c r="EM216" s="197"/>
      <c r="EN216" s="197"/>
      <c r="EO216" s="197"/>
      <c r="EP216" s="197"/>
      <c r="EQ216" s="197"/>
      <c r="ER216" s="197"/>
      <c r="ES216" s="197"/>
      <c r="ET216" s="197"/>
      <c r="EU216" s="197"/>
      <c r="EV216" s="197"/>
      <c r="EW216" s="197"/>
      <c r="EX216" s="197"/>
      <c r="EY216" s="197"/>
      <c r="EZ216" s="197"/>
      <c r="FA216" s="197"/>
      <c r="FB216" s="197"/>
      <c r="FC216" s="197"/>
      <c r="FD216" s="197"/>
      <c r="FE216" s="197"/>
      <c r="FF216" s="197"/>
      <c r="FG216" s="197"/>
      <c r="FH216" s="197"/>
      <c r="FI216" s="197"/>
      <c r="FJ216" s="175"/>
    </row>
    <row r="217" spans="139:166" x14ac:dyDescent="0.4">
      <c r="EI217" s="174"/>
      <c r="EJ217" s="197"/>
      <c r="EK217" s="197"/>
      <c r="EL217" s="197"/>
      <c r="EM217" s="197"/>
      <c r="EN217" s="197"/>
      <c r="EO217" s="197"/>
      <c r="EP217" s="197"/>
      <c r="EQ217" s="197"/>
      <c r="ER217" s="197"/>
      <c r="ES217" s="197"/>
      <c r="ET217" s="197"/>
      <c r="EU217" s="197"/>
      <c r="EV217" s="197"/>
      <c r="EW217" s="197"/>
      <c r="EX217" s="197"/>
      <c r="EY217" s="197"/>
      <c r="EZ217" s="197"/>
      <c r="FA217" s="197"/>
      <c r="FB217" s="197"/>
      <c r="FC217" s="197"/>
      <c r="FD217" s="197"/>
      <c r="FE217" s="197"/>
      <c r="FF217" s="197"/>
      <c r="FG217" s="197"/>
      <c r="FH217" s="197"/>
      <c r="FI217" s="197"/>
      <c r="FJ217" s="175"/>
    </row>
    <row r="218" spans="139:166" x14ac:dyDescent="0.4">
      <c r="EI218" s="174"/>
      <c r="EJ218" s="197"/>
      <c r="EK218" s="197"/>
      <c r="EL218" s="197"/>
      <c r="EM218" s="197"/>
      <c r="EN218" s="197"/>
      <c r="EO218" s="197"/>
      <c r="EP218" s="197"/>
      <c r="EQ218" s="197"/>
      <c r="ER218" s="197"/>
      <c r="ES218" s="197"/>
      <c r="ET218" s="197"/>
      <c r="EU218" s="197"/>
      <c r="EV218" s="197"/>
      <c r="EW218" s="197"/>
      <c r="EX218" s="197"/>
      <c r="EY218" s="197"/>
      <c r="EZ218" s="197"/>
      <c r="FA218" s="197"/>
      <c r="FB218" s="197"/>
      <c r="FC218" s="197"/>
      <c r="FD218" s="197"/>
      <c r="FE218" s="197"/>
      <c r="FF218" s="197"/>
      <c r="FG218" s="197"/>
      <c r="FH218" s="197"/>
      <c r="FI218" s="197"/>
      <c r="FJ218" s="175"/>
    </row>
    <row r="219" spans="139:166" x14ac:dyDescent="0.4">
      <c r="EI219" s="174"/>
      <c r="EJ219" s="197"/>
      <c r="EK219" s="197"/>
      <c r="EL219" s="197"/>
      <c r="EM219" s="197"/>
      <c r="EN219" s="197"/>
      <c r="EO219" s="197"/>
      <c r="EP219" s="197"/>
      <c r="EQ219" s="197"/>
      <c r="ER219" s="197"/>
      <c r="ES219" s="197"/>
      <c r="ET219" s="197"/>
      <c r="EU219" s="197"/>
      <c r="EV219" s="197"/>
      <c r="EW219" s="197"/>
      <c r="EX219" s="197"/>
      <c r="EY219" s="197"/>
      <c r="EZ219" s="197"/>
      <c r="FA219" s="197"/>
      <c r="FB219" s="197"/>
      <c r="FC219" s="197"/>
      <c r="FD219" s="197"/>
      <c r="FE219" s="197"/>
      <c r="FF219" s="197"/>
      <c r="FG219" s="197"/>
      <c r="FH219" s="197"/>
      <c r="FI219" s="197"/>
      <c r="FJ219" s="175"/>
    </row>
    <row r="220" spans="139:166" x14ac:dyDescent="0.4">
      <c r="EI220" s="174"/>
      <c r="EJ220" s="197"/>
      <c r="EK220" s="197"/>
      <c r="EL220" s="197"/>
      <c r="EM220" s="197"/>
      <c r="EN220" s="197"/>
      <c r="EO220" s="197"/>
      <c r="EP220" s="197"/>
      <c r="EQ220" s="197"/>
      <c r="ER220" s="197"/>
      <c r="ES220" s="197"/>
      <c r="ET220" s="197"/>
      <c r="EU220" s="197"/>
      <c r="EV220" s="197"/>
      <c r="EW220" s="197"/>
      <c r="EX220" s="197"/>
      <c r="EY220" s="197"/>
      <c r="EZ220" s="197"/>
      <c r="FA220" s="197"/>
      <c r="FB220" s="197"/>
      <c r="FC220" s="197"/>
      <c r="FD220" s="197"/>
      <c r="FE220" s="197"/>
      <c r="FF220" s="197"/>
      <c r="FG220" s="197"/>
      <c r="FH220" s="197"/>
      <c r="FI220" s="197"/>
      <c r="FJ220" s="175"/>
    </row>
    <row r="221" spans="139:166" x14ac:dyDescent="0.4">
      <c r="EI221" s="174"/>
      <c r="EJ221" s="197"/>
      <c r="EK221" s="197"/>
      <c r="EL221" s="197"/>
      <c r="EM221" s="197"/>
      <c r="EN221" s="197"/>
      <c r="EO221" s="197"/>
      <c r="EP221" s="197"/>
      <c r="EQ221" s="197"/>
      <c r="ER221" s="197"/>
      <c r="ES221" s="197"/>
      <c r="ET221" s="197"/>
      <c r="EU221" s="197"/>
      <c r="EV221" s="197"/>
      <c r="EW221" s="197"/>
      <c r="EX221" s="197"/>
      <c r="EY221" s="197"/>
      <c r="EZ221" s="197"/>
      <c r="FA221" s="197"/>
      <c r="FB221" s="197"/>
      <c r="FC221" s="197"/>
      <c r="FD221" s="197"/>
      <c r="FE221" s="197"/>
      <c r="FF221" s="197"/>
      <c r="FG221" s="197"/>
      <c r="FH221" s="197"/>
      <c r="FI221" s="197"/>
      <c r="FJ221" s="175"/>
    </row>
    <row r="222" spans="139:166" x14ac:dyDescent="0.4">
      <c r="EI222" s="174"/>
      <c r="EJ222" s="197"/>
      <c r="EK222" s="197"/>
      <c r="EL222" s="197"/>
      <c r="EM222" s="197"/>
      <c r="EN222" s="197"/>
      <c r="EO222" s="197"/>
      <c r="EP222" s="197"/>
      <c r="EQ222" s="197"/>
      <c r="ER222" s="197"/>
      <c r="ES222" s="197"/>
      <c r="ET222" s="197"/>
      <c r="EU222" s="197"/>
      <c r="EV222" s="197"/>
      <c r="EW222" s="197"/>
      <c r="EX222" s="197"/>
      <c r="EY222" s="197"/>
      <c r="EZ222" s="197"/>
      <c r="FA222" s="197"/>
      <c r="FB222" s="197"/>
      <c r="FC222" s="197"/>
      <c r="FD222" s="197"/>
      <c r="FE222" s="197"/>
      <c r="FF222" s="197"/>
      <c r="FG222" s="197"/>
      <c r="FH222" s="197"/>
      <c r="FI222" s="197"/>
      <c r="FJ222" s="175"/>
    </row>
    <row r="223" spans="139:166" x14ac:dyDescent="0.4">
      <c r="EI223" s="174"/>
      <c r="EJ223" s="197"/>
      <c r="EK223" s="197"/>
      <c r="EL223" s="197"/>
      <c r="EM223" s="197"/>
      <c r="EN223" s="197"/>
      <c r="EO223" s="197"/>
      <c r="EP223" s="197"/>
      <c r="EQ223" s="197"/>
      <c r="ER223" s="197"/>
      <c r="ES223" s="197"/>
      <c r="ET223" s="197"/>
      <c r="EU223" s="197"/>
      <c r="EV223" s="197"/>
      <c r="EW223" s="197"/>
      <c r="EX223" s="197"/>
      <c r="EY223" s="197"/>
      <c r="EZ223" s="197"/>
      <c r="FA223" s="197"/>
      <c r="FB223" s="197"/>
      <c r="FC223" s="197"/>
      <c r="FD223" s="197"/>
      <c r="FE223" s="197"/>
      <c r="FF223" s="197"/>
      <c r="FG223" s="197"/>
      <c r="FH223" s="197"/>
      <c r="FI223" s="197"/>
      <c r="FJ223" s="175"/>
    </row>
    <row r="224" spans="139:166" x14ac:dyDescent="0.4">
      <c r="EI224" s="174"/>
      <c r="EJ224" s="197"/>
      <c r="EK224" s="197"/>
      <c r="EL224" s="197"/>
      <c r="EM224" s="197"/>
      <c r="EN224" s="197"/>
      <c r="EO224" s="197"/>
      <c r="EP224" s="197"/>
      <c r="EQ224" s="197"/>
      <c r="ER224" s="197"/>
      <c r="ES224" s="197"/>
      <c r="ET224" s="197"/>
      <c r="EU224" s="197"/>
      <c r="EV224" s="197"/>
      <c r="EW224" s="197"/>
      <c r="EX224" s="197"/>
      <c r="EY224" s="197"/>
      <c r="EZ224" s="197"/>
      <c r="FA224" s="197"/>
      <c r="FB224" s="197"/>
      <c r="FC224" s="197"/>
      <c r="FD224" s="197"/>
      <c r="FE224" s="197"/>
      <c r="FF224" s="197"/>
      <c r="FG224" s="197"/>
      <c r="FH224" s="197"/>
      <c r="FI224" s="197"/>
      <c r="FJ224" s="175"/>
    </row>
    <row r="225" spans="139:166" x14ac:dyDescent="0.4">
      <c r="EI225" s="174"/>
      <c r="EJ225" s="197"/>
      <c r="EK225" s="197"/>
      <c r="EL225" s="197"/>
      <c r="EM225" s="197"/>
      <c r="EN225" s="197"/>
      <c r="EO225" s="197"/>
      <c r="EP225" s="197"/>
      <c r="EQ225" s="197"/>
      <c r="ER225" s="197"/>
      <c r="ES225" s="197"/>
      <c r="ET225" s="197"/>
      <c r="EU225" s="197"/>
      <c r="EV225" s="197"/>
      <c r="EW225" s="197"/>
      <c r="EX225" s="197"/>
      <c r="EY225" s="197"/>
      <c r="EZ225" s="197"/>
      <c r="FA225" s="197"/>
      <c r="FB225" s="197"/>
      <c r="FC225" s="197"/>
      <c r="FD225" s="197"/>
      <c r="FE225" s="197"/>
      <c r="FF225" s="197"/>
      <c r="FG225" s="197"/>
      <c r="FH225" s="197"/>
      <c r="FI225" s="197"/>
      <c r="FJ225" s="175"/>
    </row>
    <row r="226" spans="139:166" x14ac:dyDescent="0.4">
      <c r="EI226" s="174"/>
      <c r="EJ226" s="197"/>
      <c r="EK226" s="197"/>
      <c r="EL226" s="197"/>
      <c r="EM226" s="197"/>
      <c r="EN226" s="197"/>
      <c r="EO226" s="197"/>
      <c r="EP226" s="197"/>
      <c r="EQ226" s="197"/>
      <c r="ER226" s="197"/>
      <c r="ES226" s="197"/>
      <c r="ET226" s="197"/>
      <c r="EU226" s="197"/>
      <c r="EV226" s="197"/>
      <c r="EW226" s="197"/>
      <c r="EX226" s="197"/>
      <c r="EY226" s="197"/>
      <c r="EZ226" s="197"/>
      <c r="FA226" s="197"/>
      <c r="FB226" s="197"/>
      <c r="FC226" s="197"/>
      <c r="FD226" s="197"/>
      <c r="FE226" s="197"/>
      <c r="FF226" s="197"/>
      <c r="FG226" s="197"/>
      <c r="FH226" s="197"/>
      <c r="FI226" s="197"/>
      <c r="FJ226" s="175"/>
    </row>
    <row r="227" spans="139:166" x14ac:dyDescent="0.4">
      <c r="EI227" s="174"/>
      <c r="EJ227" s="197"/>
      <c r="EK227" s="197"/>
      <c r="EL227" s="197"/>
      <c r="EM227" s="197"/>
      <c r="EN227" s="197"/>
      <c r="EO227" s="197"/>
      <c r="EP227" s="197"/>
      <c r="EQ227" s="197"/>
      <c r="ER227" s="197"/>
      <c r="ES227" s="197"/>
      <c r="ET227" s="197"/>
      <c r="EU227" s="197"/>
      <c r="EV227" s="197"/>
      <c r="EW227" s="197"/>
      <c r="EX227" s="197"/>
      <c r="EY227" s="197"/>
      <c r="EZ227" s="197"/>
      <c r="FA227" s="197"/>
      <c r="FB227" s="197"/>
      <c r="FC227" s="197"/>
      <c r="FD227" s="197"/>
      <c r="FE227" s="197"/>
      <c r="FF227" s="197"/>
      <c r="FG227" s="197"/>
      <c r="FH227" s="197"/>
      <c r="FI227" s="197"/>
      <c r="FJ227" s="175"/>
    </row>
    <row r="228" spans="139:166" x14ac:dyDescent="0.4">
      <c r="EI228" s="174"/>
      <c r="EJ228" s="197"/>
      <c r="EK228" s="197"/>
      <c r="EL228" s="197"/>
      <c r="EM228" s="197"/>
      <c r="EN228" s="197"/>
      <c r="EO228" s="197"/>
      <c r="EP228" s="197"/>
      <c r="EQ228" s="197"/>
      <c r="ER228" s="197"/>
      <c r="ES228" s="197"/>
      <c r="ET228" s="197"/>
      <c r="EU228" s="197"/>
      <c r="EV228" s="197"/>
      <c r="EW228" s="197"/>
      <c r="EX228" s="197"/>
      <c r="EY228" s="197"/>
      <c r="EZ228" s="197"/>
      <c r="FA228" s="197"/>
      <c r="FB228" s="197"/>
      <c r="FC228" s="197"/>
      <c r="FD228" s="197"/>
      <c r="FE228" s="197"/>
      <c r="FF228" s="197"/>
      <c r="FG228" s="197"/>
      <c r="FH228" s="197"/>
      <c r="FI228" s="197"/>
      <c r="FJ228" s="175"/>
    </row>
    <row r="229" spans="139:166" x14ac:dyDescent="0.4">
      <c r="EI229" s="174"/>
      <c r="EJ229" s="197"/>
      <c r="EK229" s="197"/>
      <c r="EL229" s="197"/>
      <c r="EM229" s="197"/>
      <c r="EN229" s="197"/>
      <c r="EO229" s="197"/>
      <c r="EP229" s="197"/>
      <c r="EQ229" s="197"/>
      <c r="ER229" s="197"/>
      <c r="ES229" s="197"/>
      <c r="ET229" s="197"/>
      <c r="EU229" s="197"/>
      <c r="EV229" s="197"/>
      <c r="EW229" s="197"/>
      <c r="EX229" s="197"/>
      <c r="EY229" s="197"/>
      <c r="EZ229" s="197"/>
      <c r="FA229" s="197"/>
      <c r="FB229" s="197"/>
      <c r="FC229" s="197"/>
      <c r="FD229" s="197"/>
      <c r="FE229" s="197"/>
      <c r="FF229" s="197"/>
      <c r="FG229" s="197"/>
      <c r="FH229" s="197"/>
      <c r="FI229" s="197"/>
      <c r="FJ229" s="175"/>
    </row>
    <row r="230" spans="139:166" x14ac:dyDescent="0.4">
      <c r="EI230" s="174"/>
      <c r="EJ230" s="197"/>
      <c r="EK230" s="197"/>
      <c r="EL230" s="197"/>
      <c r="EM230" s="197"/>
      <c r="EN230" s="197"/>
      <c r="EO230" s="197"/>
      <c r="EP230" s="197"/>
      <c r="EQ230" s="197"/>
      <c r="ER230" s="197"/>
      <c r="ES230" s="197"/>
      <c r="ET230" s="197"/>
      <c r="EU230" s="197"/>
      <c r="EV230" s="197"/>
      <c r="EW230" s="197"/>
      <c r="EX230" s="197"/>
      <c r="EY230" s="197"/>
      <c r="EZ230" s="197"/>
      <c r="FA230" s="197"/>
      <c r="FB230" s="197"/>
      <c r="FC230" s="197"/>
      <c r="FD230" s="197"/>
      <c r="FE230" s="197"/>
      <c r="FF230" s="197"/>
      <c r="FG230" s="197"/>
      <c r="FH230" s="197"/>
      <c r="FI230" s="197"/>
      <c r="FJ230" s="175"/>
    </row>
    <row r="231" spans="139:166" x14ac:dyDescent="0.4">
      <c r="EI231" s="174"/>
      <c r="EJ231" s="197"/>
      <c r="EK231" s="197"/>
      <c r="EL231" s="197"/>
      <c r="EM231" s="197"/>
      <c r="EN231" s="197"/>
      <c r="EO231" s="197"/>
      <c r="EP231" s="197"/>
      <c r="EQ231" s="197"/>
      <c r="ER231" s="197"/>
      <c r="ES231" s="197"/>
      <c r="ET231" s="197"/>
      <c r="EU231" s="197"/>
      <c r="EV231" s="197"/>
      <c r="EW231" s="197"/>
      <c r="EX231" s="197"/>
      <c r="EY231" s="197"/>
      <c r="EZ231" s="197"/>
      <c r="FA231" s="197"/>
      <c r="FB231" s="197"/>
      <c r="FC231" s="197"/>
      <c r="FD231" s="197"/>
      <c r="FE231" s="197"/>
      <c r="FF231" s="197"/>
      <c r="FG231" s="197"/>
      <c r="FH231" s="197"/>
      <c r="FI231" s="197"/>
      <c r="FJ231" s="175"/>
    </row>
    <row r="232" spans="139:166" x14ac:dyDescent="0.4">
      <c r="EI232" s="174"/>
      <c r="EJ232" s="197"/>
      <c r="EK232" s="197"/>
      <c r="EL232" s="197"/>
      <c r="EM232" s="197"/>
      <c r="EN232" s="197"/>
      <c r="EO232" s="197"/>
      <c r="EP232" s="197"/>
      <c r="EQ232" s="197"/>
      <c r="ER232" s="197"/>
      <c r="ES232" s="197"/>
      <c r="ET232" s="197"/>
      <c r="EU232" s="197"/>
      <c r="EV232" s="197"/>
      <c r="EW232" s="197"/>
      <c r="EX232" s="197"/>
      <c r="EY232" s="197"/>
      <c r="EZ232" s="197"/>
      <c r="FA232" s="197"/>
      <c r="FB232" s="197"/>
      <c r="FC232" s="197"/>
      <c r="FD232" s="197"/>
      <c r="FE232" s="197"/>
      <c r="FF232" s="197"/>
      <c r="FG232" s="197"/>
      <c r="FH232" s="197"/>
      <c r="FI232" s="197"/>
      <c r="FJ232" s="175"/>
    </row>
    <row r="233" spans="139:166" x14ac:dyDescent="0.4">
      <c r="EI233" s="174"/>
      <c r="EJ233" s="197"/>
      <c r="EK233" s="197"/>
      <c r="EL233" s="197"/>
      <c r="EM233" s="197"/>
      <c r="EN233" s="197"/>
      <c r="EO233" s="197"/>
      <c r="EP233" s="197"/>
      <c r="EQ233" s="197"/>
      <c r="ER233" s="197"/>
      <c r="ES233" s="197"/>
      <c r="ET233" s="197"/>
      <c r="EU233" s="197"/>
      <c r="EV233" s="197"/>
      <c r="EW233" s="197"/>
      <c r="EX233" s="197"/>
      <c r="EY233" s="197"/>
      <c r="EZ233" s="197"/>
      <c r="FA233" s="197"/>
      <c r="FB233" s="197"/>
      <c r="FC233" s="197"/>
      <c r="FD233" s="197"/>
      <c r="FE233" s="197"/>
      <c r="FF233" s="197"/>
      <c r="FG233" s="197"/>
      <c r="FH233" s="197"/>
      <c r="FI233" s="197"/>
      <c r="FJ233" s="175"/>
    </row>
    <row r="234" spans="139:166" ht="18" thickBot="1" x14ac:dyDescent="0.45">
      <c r="EI234" s="193"/>
      <c r="EJ234" s="313"/>
      <c r="EK234" s="313"/>
      <c r="EL234" s="313"/>
      <c r="EM234" s="313"/>
      <c r="EN234" s="313"/>
      <c r="EO234" s="313"/>
      <c r="EP234" s="313"/>
      <c r="EQ234" s="313"/>
      <c r="ER234" s="313"/>
      <c r="ES234" s="313"/>
      <c r="ET234" s="313"/>
      <c r="EU234" s="313"/>
      <c r="EV234" s="313"/>
      <c r="EW234" s="313"/>
      <c r="EX234" s="313"/>
      <c r="EY234" s="313"/>
      <c r="EZ234" s="313"/>
      <c r="FA234" s="313"/>
      <c r="FB234" s="313"/>
      <c r="FC234" s="313"/>
      <c r="FD234" s="313"/>
      <c r="FE234" s="313"/>
      <c r="FF234" s="313"/>
      <c r="FG234" s="313"/>
      <c r="FH234" s="313"/>
      <c r="FI234" s="313"/>
      <c r="FJ234" s="194"/>
    </row>
    <row r="240" spans="139:166" ht="18" thickBot="1" x14ac:dyDescent="0.45"/>
    <row r="241" spans="123:150" x14ac:dyDescent="0.4">
      <c r="DS241" s="195"/>
      <c r="DT241" s="199"/>
      <c r="DU241" s="199"/>
      <c r="DV241" s="199"/>
      <c r="DW241" s="199"/>
      <c r="DX241" s="199"/>
      <c r="DY241" s="199"/>
      <c r="DZ241" s="199"/>
      <c r="EA241" s="199"/>
      <c r="EB241" s="199"/>
      <c r="EC241" s="199"/>
      <c r="ED241" s="199"/>
      <c r="EE241" s="199"/>
      <c r="EF241" s="199"/>
      <c r="EG241" s="199"/>
      <c r="EH241" s="199"/>
      <c r="EI241" s="199"/>
      <c r="EJ241" s="199"/>
      <c r="EK241" s="199"/>
      <c r="EL241" s="199"/>
      <c r="EM241" s="199"/>
      <c r="EN241" s="199"/>
      <c r="EO241" s="199"/>
      <c r="EP241" s="199"/>
      <c r="EQ241" s="199"/>
      <c r="ER241" s="199"/>
      <c r="ES241" s="199"/>
      <c r="ET241" s="196"/>
    </row>
    <row r="242" spans="123:150" x14ac:dyDescent="0.4">
      <c r="DS242" s="174"/>
      <c r="DT242" s="197"/>
      <c r="DU242" s="197"/>
      <c r="DV242" s="197"/>
      <c r="DW242" s="197"/>
      <c r="DX242" s="197"/>
      <c r="DY242" s="197"/>
      <c r="DZ242" s="197"/>
      <c r="EA242" s="197"/>
      <c r="EB242" s="197"/>
      <c r="EC242" s="197"/>
      <c r="ED242" s="197"/>
      <c r="EE242" s="197"/>
      <c r="EF242" s="197"/>
      <c r="EG242" s="197"/>
      <c r="EH242" s="197"/>
      <c r="EI242" s="197"/>
      <c r="EJ242" s="197"/>
      <c r="EK242" s="197"/>
      <c r="EL242" s="197"/>
      <c r="EM242" s="197"/>
      <c r="EN242" s="197"/>
      <c r="EO242" s="197"/>
      <c r="EP242" s="197"/>
      <c r="EQ242" s="197"/>
      <c r="ER242" s="197"/>
      <c r="ES242" s="197"/>
      <c r="ET242" s="175"/>
    </row>
    <row r="243" spans="123:150" x14ac:dyDescent="0.4">
      <c r="DS243" s="174"/>
      <c r="DT243" s="197"/>
      <c r="DU243" s="197"/>
      <c r="DV243" s="197"/>
      <c r="DW243" s="197"/>
      <c r="DX243" s="197"/>
      <c r="DY243" s="197"/>
      <c r="DZ243" s="197"/>
      <c r="EA243" s="197"/>
      <c r="EB243" s="197"/>
      <c r="EC243" s="197"/>
      <c r="ED243" s="197"/>
      <c r="EE243" s="197"/>
      <c r="EF243" s="197"/>
      <c r="EG243" s="197"/>
      <c r="EH243" s="197"/>
      <c r="EI243" s="197"/>
      <c r="EJ243" s="197"/>
      <c r="EK243" s="197"/>
      <c r="EL243" s="197"/>
      <c r="EM243" s="197"/>
      <c r="EN243" s="197"/>
      <c r="EO243" s="197"/>
      <c r="EP243" s="197"/>
      <c r="EQ243" s="197"/>
      <c r="ER243" s="197"/>
      <c r="ES243" s="197"/>
      <c r="ET243" s="175"/>
    </row>
    <row r="244" spans="123:150" x14ac:dyDescent="0.4">
      <c r="DS244" s="174"/>
      <c r="DT244" s="197"/>
      <c r="DU244" s="197"/>
      <c r="DV244" s="197"/>
      <c r="DW244" s="197"/>
      <c r="DX244" s="197"/>
      <c r="DY244" s="197"/>
      <c r="DZ244" s="197"/>
      <c r="EA244" s="197"/>
      <c r="EB244" s="197"/>
      <c r="EC244" s="197"/>
      <c r="ED244" s="197"/>
      <c r="EE244" s="197"/>
      <c r="EF244" s="197"/>
      <c r="EG244" s="197"/>
      <c r="EH244" s="197"/>
      <c r="EI244" s="197"/>
      <c r="EJ244" s="197"/>
      <c r="EK244" s="197"/>
      <c r="EL244" s="197"/>
      <c r="EM244" s="197"/>
      <c r="EN244" s="197"/>
      <c r="EO244" s="197"/>
      <c r="EP244" s="197"/>
      <c r="EQ244" s="197"/>
      <c r="ER244" s="197"/>
      <c r="ES244" s="197"/>
      <c r="ET244" s="175"/>
    </row>
    <row r="245" spans="123:150" x14ac:dyDescent="0.4">
      <c r="DS245" s="174"/>
      <c r="DT245" s="197"/>
      <c r="DU245" s="197"/>
      <c r="DV245" s="197"/>
      <c r="DW245" s="197"/>
      <c r="DX245" s="197"/>
      <c r="DY245" s="197"/>
      <c r="DZ245" s="197"/>
      <c r="EA245" s="197"/>
      <c r="EB245" s="197"/>
      <c r="EC245" s="197"/>
      <c r="ED245" s="197"/>
      <c r="EE245" s="197"/>
      <c r="EF245" s="197"/>
      <c r="EG245" s="197"/>
      <c r="EH245" s="197"/>
      <c r="EI245" s="197"/>
      <c r="EJ245" s="197"/>
      <c r="EK245" s="197"/>
      <c r="EL245" s="197"/>
      <c r="EM245" s="197"/>
      <c r="EN245" s="197"/>
      <c r="EO245" s="197"/>
      <c r="EP245" s="197"/>
      <c r="EQ245" s="197"/>
      <c r="ER245" s="197"/>
      <c r="ES245" s="197"/>
      <c r="ET245" s="175"/>
    </row>
    <row r="246" spans="123:150" x14ac:dyDescent="0.4">
      <c r="DS246" s="174"/>
      <c r="DT246" s="197"/>
      <c r="DU246" s="197"/>
      <c r="DV246" s="197"/>
      <c r="DW246" s="197"/>
      <c r="DX246" s="197"/>
      <c r="DY246" s="197"/>
      <c r="DZ246" s="197"/>
      <c r="EA246" s="197"/>
      <c r="EB246" s="197"/>
      <c r="EC246" s="197"/>
      <c r="ED246" s="197"/>
      <c r="EE246" s="197"/>
      <c r="EF246" s="197"/>
      <c r="EG246" s="197"/>
      <c r="EH246" s="197"/>
      <c r="EI246" s="197"/>
      <c r="EJ246" s="197"/>
      <c r="EK246" s="197"/>
      <c r="EL246" s="197"/>
      <c r="EM246" s="197"/>
      <c r="EN246" s="197"/>
      <c r="EO246" s="197"/>
      <c r="EP246" s="197"/>
      <c r="EQ246" s="197"/>
      <c r="ER246" s="197"/>
      <c r="ES246" s="197"/>
      <c r="ET246" s="175"/>
    </row>
    <row r="247" spans="123:150" x14ac:dyDescent="0.4">
      <c r="DS247" s="174"/>
      <c r="DT247" s="197"/>
      <c r="DU247" s="197"/>
      <c r="DV247" s="197"/>
      <c r="DW247" s="197"/>
      <c r="DX247" s="197"/>
      <c r="DY247" s="197"/>
      <c r="DZ247" s="197"/>
      <c r="EA247" s="197"/>
      <c r="EB247" s="197"/>
      <c r="EC247" s="197"/>
      <c r="ED247" s="197"/>
      <c r="EE247" s="197"/>
      <c r="EF247" s="197"/>
      <c r="EG247" s="197"/>
      <c r="EH247" s="197"/>
      <c r="EI247" s="197"/>
      <c r="EJ247" s="197"/>
      <c r="EK247" s="197"/>
      <c r="EL247" s="197"/>
      <c r="EM247" s="197"/>
      <c r="EN247" s="197"/>
      <c r="EO247" s="197"/>
      <c r="EP247" s="197"/>
      <c r="EQ247" s="197"/>
      <c r="ER247" s="197"/>
      <c r="ES247" s="197"/>
      <c r="ET247" s="175"/>
    </row>
    <row r="248" spans="123:150" x14ac:dyDescent="0.4">
      <c r="DS248" s="174"/>
      <c r="DT248" s="197"/>
      <c r="DU248" s="197"/>
      <c r="DV248" s="197"/>
      <c r="DW248" s="197"/>
      <c r="DX248" s="197"/>
      <c r="DY248" s="197"/>
      <c r="DZ248" s="197"/>
      <c r="EA248" s="197"/>
      <c r="EB248" s="197"/>
      <c r="EC248" s="197"/>
      <c r="ED248" s="197"/>
      <c r="EE248" s="197"/>
      <c r="EF248" s="197"/>
      <c r="EG248" s="197"/>
      <c r="EH248" s="197"/>
      <c r="EI248" s="197"/>
      <c r="EJ248" s="197"/>
      <c r="EK248" s="197"/>
      <c r="EL248" s="197"/>
      <c r="EM248" s="197"/>
      <c r="EN248" s="197"/>
      <c r="EO248" s="197"/>
      <c r="EP248" s="197"/>
      <c r="EQ248" s="197"/>
      <c r="ER248" s="197"/>
      <c r="ES248" s="197"/>
      <c r="ET248" s="175"/>
    </row>
    <row r="249" spans="123:150" x14ac:dyDescent="0.4">
      <c r="DS249" s="174"/>
      <c r="DT249" s="197"/>
      <c r="DU249" s="197"/>
      <c r="DV249" s="197"/>
      <c r="DW249" s="197"/>
      <c r="DX249" s="197"/>
      <c r="DY249" s="197"/>
      <c r="DZ249" s="197"/>
      <c r="EA249" s="197"/>
      <c r="EB249" s="197"/>
      <c r="EC249" s="197"/>
      <c r="ED249" s="197"/>
      <c r="EE249" s="197"/>
      <c r="EF249" s="197"/>
      <c r="EG249" s="197"/>
      <c r="EH249" s="197"/>
      <c r="EI249" s="197"/>
      <c r="EJ249" s="197"/>
      <c r="EK249" s="197"/>
      <c r="EL249" s="197"/>
      <c r="EM249" s="197"/>
      <c r="EN249" s="197"/>
      <c r="EO249" s="197"/>
      <c r="EP249" s="197"/>
      <c r="EQ249" s="197"/>
      <c r="ER249" s="197"/>
      <c r="ES249" s="197"/>
      <c r="ET249" s="175"/>
    </row>
    <row r="250" spans="123:150" x14ac:dyDescent="0.4">
      <c r="DS250" s="174"/>
      <c r="DT250" s="197"/>
      <c r="DU250" s="197"/>
      <c r="DV250" s="197"/>
      <c r="DW250" s="197"/>
      <c r="DX250" s="197"/>
      <c r="DY250" s="197"/>
      <c r="DZ250" s="197"/>
      <c r="EA250" s="197"/>
      <c r="EB250" s="197"/>
      <c r="EC250" s="197"/>
      <c r="ED250" s="197"/>
      <c r="EE250" s="197"/>
      <c r="EF250" s="197"/>
      <c r="EG250" s="197"/>
      <c r="EH250" s="197"/>
      <c r="EI250" s="197"/>
      <c r="EJ250" s="197"/>
      <c r="EK250" s="197"/>
      <c r="EL250" s="197"/>
      <c r="EM250" s="197"/>
      <c r="EN250" s="197"/>
      <c r="EO250" s="197"/>
      <c r="EP250" s="197"/>
      <c r="EQ250" s="197"/>
      <c r="ER250" s="197"/>
      <c r="ES250" s="197"/>
      <c r="ET250" s="175"/>
    </row>
    <row r="251" spans="123:150" x14ac:dyDescent="0.4">
      <c r="DS251" s="174"/>
      <c r="DT251" s="197"/>
      <c r="DU251" s="197"/>
      <c r="DV251" s="197"/>
      <c r="DW251" s="197"/>
      <c r="DX251" s="197"/>
      <c r="DY251" s="197"/>
      <c r="DZ251" s="197"/>
      <c r="EA251" s="197"/>
      <c r="EB251" s="197"/>
      <c r="EC251" s="197"/>
      <c r="ED251" s="197"/>
      <c r="EE251" s="197"/>
      <c r="EF251" s="197"/>
      <c r="EG251" s="197"/>
      <c r="EH251" s="197"/>
      <c r="EI251" s="197"/>
      <c r="EJ251" s="197"/>
      <c r="EK251" s="197"/>
      <c r="EL251" s="197"/>
      <c r="EM251" s="197"/>
      <c r="EN251" s="197"/>
      <c r="EO251" s="197"/>
      <c r="EP251" s="197"/>
      <c r="EQ251" s="197"/>
      <c r="ER251" s="197"/>
      <c r="ES251" s="197"/>
      <c r="ET251" s="175"/>
    </row>
    <row r="252" spans="123:150" x14ac:dyDescent="0.4">
      <c r="DS252" s="174"/>
      <c r="DT252" s="197"/>
      <c r="DU252" s="197"/>
      <c r="DV252" s="197"/>
      <c r="DW252" s="197"/>
      <c r="DX252" s="197"/>
      <c r="DY252" s="197"/>
      <c r="DZ252" s="197"/>
      <c r="EA252" s="197"/>
      <c r="EB252" s="197"/>
      <c r="EC252" s="197"/>
      <c r="ED252" s="197"/>
      <c r="EE252" s="197"/>
      <c r="EF252" s="197"/>
      <c r="EG252" s="197"/>
      <c r="EH252" s="197"/>
      <c r="EI252" s="197"/>
      <c r="EJ252" s="197"/>
      <c r="EK252" s="197"/>
      <c r="EL252" s="197"/>
      <c r="EM252" s="197"/>
      <c r="EN252" s="197"/>
      <c r="EO252" s="197"/>
      <c r="EP252" s="197"/>
      <c r="EQ252" s="197"/>
      <c r="ER252" s="197"/>
      <c r="ES252" s="197"/>
      <c r="ET252" s="175"/>
    </row>
    <row r="253" spans="123:150" x14ac:dyDescent="0.4">
      <c r="DS253" s="174"/>
      <c r="DT253" s="197"/>
      <c r="DU253" s="197"/>
      <c r="DV253" s="197"/>
      <c r="DW253" s="197"/>
      <c r="DX253" s="197"/>
      <c r="DY253" s="197"/>
      <c r="DZ253" s="197"/>
      <c r="EA253" s="197"/>
      <c r="EB253" s="197"/>
      <c r="EC253" s="197"/>
      <c r="ED253" s="197"/>
      <c r="EE253" s="197"/>
      <c r="EF253" s="197"/>
      <c r="EG253" s="197"/>
      <c r="EH253" s="197"/>
      <c r="EI253" s="197"/>
      <c r="EJ253" s="197"/>
      <c r="EK253" s="197"/>
      <c r="EL253" s="197"/>
      <c r="EM253" s="197"/>
      <c r="EN253" s="197"/>
      <c r="EO253" s="197"/>
      <c r="EP253" s="197"/>
      <c r="EQ253" s="197"/>
      <c r="ER253" s="197"/>
      <c r="ES253" s="197"/>
      <c r="ET253" s="175"/>
    </row>
    <row r="254" spans="123:150" x14ac:dyDescent="0.4">
      <c r="DS254" s="174"/>
      <c r="DT254" s="197"/>
      <c r="DU254" s="197"/>
      <c r="DV254" s="197"/>
      <c r="DW254" s="197"/>
      <c r="DX254" s="197"/>
      <c r="DY254" s="197"/>
      <c r="DZ254" s="197"/>
      <c r="EA254" s="197"/>
      <c r="EB254" s="197"/>
      <c r="EC254" s="197"/>
      <c r="ED254" s="197"/>
      <c r="EE254" s="197"/>
      <c r="EF254" s="197"/>
      <c r="EG254" s="197"/>
      <c r="EH254" s="197"/>
      <c r="EI254" s="197"/>
      <c r="EJ254" s="197"/>
      <c r="EK254" s="197"/>
      <c r="EL254" s="197"/>
      <c r="EM254" s="197"/>
      <c r="EN254" s="197"/>
      <c r="EO254" s="197"/>
      <c r="EP254" s="197"/>
      <c r="EQ254" s="197"/>
      <c r="ER254" s="197"/>
      <c r="ES254" s="197"/>
      <c r="ET254" s="175"/>
    </row>
    <row r="255" spans="123:150" x14ac:dyDescent="0.4">
      <c r="DS255" s="174"/>
      <c r="DT255" s="197"/>
      <c r="DU255" s="197"/>
      <c r="DV255" s="197"/>
      <c r="DW255" s="197"/>
      <c r="DX255" s="197"/>
      <c r="DY255" s="197"/>
      <c r="DZ255" s="197"/>
      <c r="EA255" s="197"/>
      <c r="EB255" s="197"/>
      <c r="EC255" s="197"/>
      <c r="ED255" s="197"/>
      <c r="EE255" s="197"/>
      <c r="EF255" s="197"/>
      <c r="EG255" s="197"/>
      <c r="EH255" s="197"/>
      <c r="EI255" s="197"/>
      <c r="EJ255" s="197"/>
      <c r="EK255" s="197"/>
      <c r="EL255" s="197"/>
      <c r="EM255" s="197"/>
      <c r="EN255" s="197"/>
      <c r="EO255" s="197"/>
      <c r="EP255" s="197"/>
      <c r="EQ255" s="197"/>
      <c r="ER255" s="197"/>
      <c r="ES255" s="197"/>
      <c r="ET255" s="175"/>
    </row>
    <row r="256" spans="123:150" x14ac:dyDescent="0.4">
      <c r="DS256" s="174"/>
      <c r="DT256" s="197"/>
      <c r="DU256" s="197"/>
      <c r="DV256" s="197"/>
      <c r="DW256" s="197"/>
      <c r="DX256" s="197"/>
      <c r="DY256" s="197"/>
      <c r="DZ256" s="197"/>
      <c r="EA256" s="197"/>
      <c r="EB256" s="197"/>
      <c r="EC256" s="197"/>
      <c r="ED256" s="197"/>
      <c r="EE256" s="197"/>
      <c r="EF256" s="197"/>
      <c r="EG256" s="197"/>
      <c r="EH256" s="197"/>
      <c r="EI256" s="197"/>
      <c r="EJ256" s="197"/>
      <c r="EK256" s="197"/>
      <c r="EL256" s="197"/>
      <c r="EM256" s="197"/>
      <c r="EN256" s="197"/>
      <c r="EO256" s="197"/>
      <c r="EP256" s="197"/>
      <c r="EQ256" s="197"/>
      <c r="ER256" s="197"/>
      <c r="ES256" s="197"/>
      <c r="ET256" s="175"/>
    </row>
    <row r="257" spans="123:150" x14ac:dyDescent="0.4">
      <c r="DS257" s="174"/>
      <c r="DT257" s="197"/>
      <c r="DU257" s="197"/>
      <c r="DV257" s="197"/>
      <c r="DW257" s="197"/>
      <c r="DX257" s="197"/>
      <c r="DY257" s="197"/>
      <c r="DZ257" s="197"/>
      <c r="EA257" s="197"/>
      <c r="EB257" s="197"/>
      <c r="EC257" s="197"/>
      <c r="ED257" s="197"/>
      <c r="EE257" s="197"/>
      <c r="EF257" s="197"/>
      <c r="EG257" s="197"/>
      <c r="EH257" s="197"/>
      <c r="EI257" s="197"/>
      <c r="EJ257" s="197"/>
      <c r="EK257" s="197"/>
      <c r="EL257" s="197"/>
      <c r="EM257" s="197"/>
      <c r="EN257" s="197"/>
      <c r="EO257" s="197"/>
      <c r="EP257" s="197"/>
      <c r="EQ257" s="197"/>
      <c r="ER257" s="197"/>
      <c r="ES257" s="197"/>
      <c r="ET257" s="175"/>
    </row>
    <row r="258" spans="123:150" x14ac:dyDescent="0.4">
      <c r="DS258" s="174"/>
      <c r="DT258" s="197"/>
      <c r="DU258" s="197"/>
      <c r="DV258" s="197"/>
      <c r="DW258" s="197"/>
      <c r="DX258" s="197"/>
      <c r="DY258" s="197"/>
      <c r="DZ258" s="197"/>
      <c r="EA258" s="197"/>
      <c r="EB258" s="197"/>
      <c r="EC258" s="197"/>
      <c r="ED258" s="197"/>
      <c r="EE258" s="197"/>
      <c r="EF258" s="197"/>
      <c r="EG258" s="197"/>
      <c r="EH258" s="197"/>
      <c r="EI258" s="197"/>
      <c r="EJ258" s="197"/>
      <c r="EK258" s="197"/>
      <c r="EL258" s="197"/>
      <c r="EM258" s="197"/>
      <c r="EN258" s="197"/>
      <c r="EO258" s="197"/>
      <c r="EP258" s="197"/>
      <c r="EQ258" s="197"/>
      <c r="ER258" s="197"/>
      <c r="ES258" s="197"/>
      <c r="ET258" s="175"/>
    </row>
    <row r="259" spans="123:150" x14ac:dyDescent="0.4">
      <c r="DS259" s="174"/>
      <c r="DT259" s="197"/>
      <c r="DU259" s="197"/>
      <c r="DV259" s="197"/>
      <c r="DW259" s="197"/>
      <c r="DX259" s="197"/>
      <c r="DY259" s="197"/>
      <c r="DZ259" s="197"/>
      <c r="EA259" s="197"/>
      <c r="EB259" s="197"/>
      <c r="EC259" s="197"/>
      <c r="ED259" s="197"/>
      <c r="EE259" s="197"/>
      <c r="EF259" s="197"/>
      <c r="EG259" s="197"/>
      <c r="EH259" s="197"/>
      <c r="EI259" s="197"/>
      <c r="EJ259" s="197"/>
      <c r="EK259" s="197"/>
      <c r="EL259" s="197"/>
      <c r="EM259" s="197"/>
      <c r="EN259" s="197"/>
      <c r="EO259" s="197"/>
      <c r="EP259" s="197"/>
      <c r="EQ259" s="197"/>
      <c r="ER259" s="197"/>
      <c r="ES259" s="197"/>
      <c r="ET259" s="175"/>
    </row>
    <row r="260" spans="123:150" x14ac:dyDescent="0.4">
      <c r="DS260" s="174"/>
      <c r="DT260" s="197"/>
      <c r="DU260" s="197"/>
      <c r="DV260" s="197"/>
      <c r="DW260" s="197"/>
      <c r="DX260" s="197"/>
      <c r="DY260" s="197"/>
      <c r="DZ260" s="197"/>
      <c r="EA260" s="197"/>
      <c r="EB260" s="197"/>
      <c r="EC260" s="197"/>
      <c r="ED260" s="197"/>
      <c r="EE260" s="197"/>
      <c r="EF260" s="197"/>
      <c r="EG260" s="197"/>
      <c r="EH260" s="197"/>
      <c r="EI260" s="197"/>
      <c r="EJ260" s="197"/>
      <c r="EK260" s="197"/>
      <c r="EL260" s="197"/>
      <c r="EM260" s="197"/>
      <c r="EN260" s="197"/>
      <c r="EO260" s="197"/>
      <c r="EP260" s="197"/>
      <c r="EQ260" s="197"/>
      <c r="ER260" s="197"/>
      <c r="ES260" s="197"/>
      <c r="ET260" s="175"/>
    </row>
    <row r="261" spans="123:150" x14ac:dyDescent="0.4">
      <c r="DS261" s="174"/>
      <c r="DT261" s="197"/>
      <c r="DU261" s="197"/>
      <c r="DV261" s="197"/>
      <c r="DW261" s="197"/>
      <c r="DX261" s="197"/>
      <c r="DY261" s="197"/>
      <c r="DZ261" s="197"/>
      <c r="EA261" s="197"/>
      <c r="EB261" s="197"/>
      <c r="EC261" s="197"/>
      <c r="ED261" s="197"/>
      <c r="EE261" s="197"/>
      <c r="EF261" s="197"/>
      <c r="EG261" s="197"/>
      <c r="EH261" s="197"/>
      <c r="EI261" s="197"/>
      <c r="EJ261" s="197"/>
      <c r="EK261" s="197"/>
      <c r="EL261" s="197"/>
      <c r="EM261" s="197"/>
      <c r="EN261" s="197"/>
      <c r="EO261" s="197"/>
      <c r="EP261" s="197"/>
      <c r="EQ261" s="197"/>
      <c r="ER261" s="197"/>
      <c r="ES261" s="197"/>
      <c r="ET261" s="175"/>
    </row>
    <row r="262" spans="123:150" ht="18" thickBot="1" x14ac:dyDescent="0.45">
      <c r="DS262" s="193"/>
      <c r="DT262" s="313"/>
      <c r="DU262" s="313"/>
      <c r="DV262" s="313"/>
      <c r="DW262" s="313"/>
      <c r="DX262" s="313"/>
      <c r="DY262" s="313"/>
      <c r="DZ262" s="313"/>
      <c r="EA262" s="313"/>
      <c r="EB262" s="313"/>
      <c r="EC262" s="313"/>
      <c r="ED262" s="313"/>
      <c r="EE262" s="313"/>
      <c r="EF262" s="313"/>
      <c r="EG262" s="313"/>
      <c r="EH262" s="313"/>
      <c r="EI262" s="313"/>
      <c r="EJ262" s="313"/>
      <c r="EK262" s="313"/>
      <c r="EL262" s="313"/>
      <c r="EM262" s="313"/>
      <c r="EN262" s="313"/>
      <c r="EO262" s="313"/>
      <c r="EP262" s="313"/>
      <c r="EQ262" s="313"/>
      <c r="ER262" s="313"/>
      <c r="ES262" s="313"/>
      <c r="ET262" s="194"/>
    </row>
  </sheetData>
  <mergeCells count="35">
    <mergeCell ref="I4:N5"/>
    <mergeCell ref="K28:L28"/>
    <mergeCell ref="K7:L7"/>
    <mergeCell ref="Q12:R12"/>
    <mergeCell ref="Q13:R13"/>
    <mergeCell ref="Q10:R10"/>
    <mergeCell ref="AY4:BD5"/>
    <mergeCell ref="AY111:BD112"/>
    <mergeCell ref="Y7:AZ28"/>
    <mergeCell ref="Y31:AZ52"/>
    <mergeCell ref="Y55:AZ76"/>
    <mergeCell ref="Y79:AZ100"/>
    <mergeCell ref="BC7:CD28"/>
    <mergeCell ref="BC31:CD52"/>
    <mergeCell ref="BC55:CD76"/>
    <mergeCell ref="BC79:CD100"/>
    <mergeCell ref="Y138:AZ159"/>
    <mergeCell ref="Y162:AZ183"/>
    <mergeCell ref="Y186:AZ207"/>
    <mergeCell ref="BC114:CD135"/>
    <mergeCell ref="BC138:CD159"/>
    <mergeCell ref="BC162:CD183"/>
    <mergeCell ref="BC186:CD207"/>
    <mergeCell ref="DC62:ED83"/>
    <mergeCell ref="D13:E13"/>
    <mergeCell ref="DS7:ET28"/>
    <mergeCell ref="DC35:ED56"/>
    <mergeCell ref="Y114:AZ135"/>
    <mergeCell ref="DC107:ED128"/>
    <mergeCell ref="EI107:FJ128"/>
    <mergeCell ref="DC141:ED162"/>
    <mergeCell ref="EI141:FJ162"/>
    <mergeCell ref="EI186:FJ207"/>
    <mergeCell ref="EI213:FJ234"/>
    <mergeCell ref="DS241:ET262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Board</vt:lpstr>
      <vt:lpstr>Sheet1</vt:lpstr>
      <vt:lpstr>Uart</vt:lpstr>
      <vt:lpstr>Robot</vt:lpstr>
      <vt:lpstr>Slide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허태규(2020134041)</dc:creator>
  <cp:lastModifiedBy>허태규(2020134041)</cp:lastModifiedBy>
  <cp:lastPrinted>2025-07-11T11:51:52Z</cp:lastPrinted>
  <dcterms:created xsi:type="dcterms:W3CDTF">2025-02-24T14:29:08Z</dcterms:created>
  <dcterms:modified xsi:type="dcterms:W3CDTF">2025-07-29T11:21:27Z</dcterms:modified>
</cp:coreProperties>
</file>